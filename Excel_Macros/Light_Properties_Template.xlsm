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665" activeTab="1"/>
  </bookViews>
  <sheets>
    <sheet name="Contents" sheetId="9" r:id="rId1"/>
    <sheet name="Invalid Unit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WT_Light_All" sheetId="7" r:id="rId8"/>
    <sheet name="WT_Light_WABs" sheetId="19" r:id="rId9"/>
    <sheet name="WT_Light_NonWABs" sheetId="20" r:id="rId10"/>
    <sheet name="WT_Recovery_All" sheetId="8" r:id="rId11"/>
    <sheet name="WT_Recovery_WABs" sheetId="21" r:id="rId12"/>
    <sheet name="WT_Recovery_NonWABs" sheetId="22" r:id="rId13"/>
  </sheets>
  <functionGroups builtInGroupCount="18"/>
  <definedNames>
    <definedName name="InterElectrodeDist">#REF!</definedName>
    <definedName name="numPops" localSheetId="6">'Invalid Units'!#REF!</definedName>
    <definedName name="numPops" localSheetId="5">'Invalid Units'!#REF!</definedName>
    <definedName name="numPops" localSheetId="9">'Invalid Units'!#REF!</definedName>
    <definedName name="numPops" localSheetId="8">'Invalid Units'!#REF!</definedName>
    <definedName name="numPops" localSheetId="12">'Invalid Units'!#REF!</definedName>
    <definedName name="numPops" localSheetId="11">'Invalid Units'!#REF!</definedName>
    <definedName name="numPops">'Invalid Units'!#REF!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6" i="2" l="1"/>
  <c r="AC26" i="2"/>
  <c r="AD26" i="2"/>
  <c r="AH26" i="2"/>
  <c r="AI26" i="2"/>
  <c r="AJ26" i="2"/>
  <c r="AJ32" i="2"/>
  <c r="AI32" i="2"/>
  <c r="AH32" i="2"/>
  <c r="AJ31" i="2"/>
  <c r="AI31" i="2"/>
  <c r="AH31" i="2"/>
  <c r="AJ30" i="2"/>
  <c r="AI30" i="2"/>
  <c r="AH30" i="2"/>
  <c r="AJ29" i="2"/>
  <c r="AI29" i="2"/>
  <c r="AH29" i="2"/>
  <c r="AJ28" i="2"/>
  <c r="AI28" i="2"/>
  <c r="AH28" i="2"/>
  <c r="AJ27" i="2"/>
  <c r="AI27" i="2"/>
  <c r="AH27" i="2"/>
  <c r="AD110" i="2"/>
  <c r="AC110" i="2"/>
  <c r="AB110" i="2"/>
  <c r="AD109" i="2"/>
  <c r="AC109" i="2"/>
  <c r="AB109" i="2"/>
  <c r="AD108" i="2"/>
  <c r="AC108" i="2"/>
  <c r="AB108" i="2"/>
  <c r="AD107" i="2"/>
  <c r="AC107" i="2"/>
  <c r="AB107" i="2"/>
  <c r="AD106" i="2"/>
  <c r="AC106" i="2"/>
  <c r="AB106" i="2"/>
  <c r="AD105" i="2"/>
  <c r="AC105" i="2"/>
  <c r="AB105" i="2"/>
  <c r="AD104" i="2"/>
  <c r="AC104" i="2"/>
  <c r="AB104" i="2"/>
  <c r="X110" i="2"/>
  <c r="W110" i="2"/>
  <c r="V110" i="2"/>
  <c r="X109" i="2"/>
  <c r="W109" i="2"/>
  <c r="V109" i="2"/>
  <c r="X108" i="2"/>
  <c r="W108" i="2"/>
  <c r="V108" i="2"/>
  <c r="X107" i="2"/>
  <c r="W107" i="2"/>
  <c r="V107" i="2"/>
  <c r="X106" i="2"/>
  <c r="W106" i="2"/>
  <c r="V106" i="2"/>
  <c r="X105" i="2"/>
  <c r="W105" i="2"/>
  <c r="V105" i="2"/>
  <c r="X104" i="2"/>
  <c r="W104" i="2"/>
  <c r="V104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L110" i="2"/>
  <c r="K110" i="2"/>
  <c r="J110" i="2"/>
  <c r="L109" i="2"/>
  <c r="K109" i="2"/>
  <c r="J109" i="2"/>
  <c r="L108" i="2"/>
  <c r="K108" i="2"/>
  <c r="J108" i="2"/>
  <c r="L107" i="2"/>
  <c r="K107" i="2"/>
  <c r="J107" i="2"/>
  <c r="L106" i="2"/>
  <c r="K106" i="2"/>
  <c r="J106" i="2"/>
  <c r="L105" i="2"/>
  <c r="K105" i="2"/>
  <c r="J105" i="2"/>
  <c r="L104" i="2"/>
  <c r="K104" i="2"/>
  <c r="J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F104" i="2"/>
  <c r="E104" i="2"/>
  <c r="D104" i="2"/>
  <c r="AD71" i="2"/>
  <c r="AC71" i="2"/>
  <c r="AB71" i="2"/>
  <c r="AD70" i="2"/>
  <c r="AC70" i="2"/>
  <c r="AB70" i="2"/>
  <c r="AD69" i="2"/>
  <c r="AC69" i="2"/>
  <c r="AB69" i="2"/>
  <c r="AD68" i="2"/>
  <c r="AC68" i="2"/>
  <c r="AB68" i="2"/>
  <c r="AD67" i="2"/>
  <c r="AC67" i="2"/>
  <c r="AB67" i="2"/>
  <c r="AD66" i="2"/>
  <c r="AC66" i="2"/>
  <c r="AB66" i="2"/>
  <c r="AD65" i="2"/>
  <c r="AC65" i="2"/>
  <c r="AB65" i="2"/>
  <c r="X71" i="2"/>
  <c r="W71" i="2"/>
  <c r="V71" i="2"/>
  <c r="X70" i="2"/>
  <c r="W70" i="2"/>
  <c r="V70" i="2"/>
  <c r="X69" i="2"/>
  <c r="W69" i="2"/>
  <c r="V69" i="2"/>
  <c r="X68" i="2"/>
  <c r="W68" i="2"/>
  <c r="V68" i="2"/>
  <c r="X67" i="2"/>
  <c r="W67" i="2"/>
  <c r="V67" i="2"/>
  <c r="X66" i="2"/>
  <c r="W66" i="2"/>
  <c r="V66" i="2"/>
  <c r="X65" i="2"/>
  <c r="W65" i="2"/>
  <c r="V65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J67" i="2"/>
  <c r="L66" i="2"/>
  <c r="K66" i="2"/>
  <c r="J66" i="2"/>
  <c r="L65" i="2"/>
  <c r="K65" i="2"/>
  <c r="J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F65" i="2"/>
  <c r="E65" i="2"/>
  <c r="D65" i="2"/>
  <c r="AD30" i="2"/>
  <c r="AD32" i="2"/>
  <c r="AC32" i="2"/>
  <c r="AB32" i="2"/>
  <c r="AD31" i="2"/>
  <c r="AC31" i="2"/>
  <c r="AB31" i="2"/>
  <c r="AC30" i="2"/>
  <c r="AB30" i="2"/>
  <c r="AD29" i="2"/>
  <c r="AC29" i="2"/>
  <c r="AB29" i="2"/>
  <c r="AD28" i="2"/>
  <c r="AC28" i="2"/>
  <c r="AB28" i="2"/>
  <c r="AD27" i="2"/>
  <c r="AC27" i="2"/>
  <c r="AB27" i="2"/>
  <c r="X32" i="2"/>
  <c r="W32" i="2"/>
  <c r="V32" i="2"/>
  <c r="X31" i="2"/>
  <c r="W31" i="2"/>
  <c r="V31" i="2"/>
  <c r="X30" i="2"/>
  <c r="W30" i="2"/>
  <c r="V30" i="2"/>
  <c r="X29" i="2"/>
  <c r="W29" i="2"/>
  <c r="V29" i="2"/>
  <c r="X28" i="2"/>
  <c r="W28" i="2"/>
  <c r="V28" i="2"/>
  <c r="X27" i="2"/>
  <c r="W27" i="2"/>
  <c r="V27" i="2"/>
  <c r="X26" i="2"/>
  <c r="W26" i="2"/>
  <c r="V26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L32" i="2"/>
  <c r="K32" i="2"/>
  <c r="J32" i="2"/>
  <c r="L31" i="2"/>
  <c r="K31" i="2"/>
  <c r="J31" i="2"/>
  <c r="L30" i="2"/>
  <c r="K30" i="2"/>
  <c r="J30" i="2"/>
  <c r="L29" i="2"/>
  <c r="K29" i="2"/>
  <c r="J29" i="2"/>
  <c r="L28" i="2"/>
  <c r="K28" i="2"/>
  <c r="J28" i="2"/>
  <c r="L27" i="2"/>
  <c r="K27" i="2"/>
  <c r="J27" i="2"/>
  <c r="L26" i="2"/>
  <c r="K26" i="2"/>
  <c r="J26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AI20" i="2"/>
  <c r="J98" i="2"/>
  <c r="AC98" i="2"/>
  <c r="AD59" i="2"/>
  <c r="P20" i="2"/>
  <c r="X20" i="2"/>
  <c r="F98" i="2"/>
  <c r="D20" i="2"/>
  <c r="P59" i="2"/>
  <c r="L20" i="2"/>
  <c r="J20" i="2"/>
  <c r="V98" i="2"/>
  <c r="X98" i="2"/>
  <c r="AD20" i="2"/>
  <c r="AD98" i="2"/>
  <c r="Q59" i="2"/>
  <c r="K59" i="2"/>
  <c r="AB20" i="2"/>
  <c r="D59" i="2"/>
  <c r="R59" i="2"/>
  <c r="W98" i="2"/>
  <c r="R20" i="2"/>
  <c r="P98" i="2"/>
  <c r="K98" i="2"/>
  <c r="E20" i="2"/>
  <c r="Q98" i="2"/>
  <c r="AH20" i="2"/>
  <c r="AC59" i="2"/>
  <c r="AB59" i="2"/>
  <c r="AC20" i="2"/>
  <c r="D98" i="2"/>
  <c r="AJ20" i="2"/>
  <c r="E98" i="2"/>
  <c r="L59" i="2"/>
  <c r="W20" i="2"/>
  <c r="AB98" i="2"/>
  <c r="X59" i="2"/>
  <c r="V59" i="2"/>
  <c r="F59" i="2"/>
  <c r="W59" i="2"/>
  <c r="L98" i="2"/>
  <c r="R98" i="2"/>
  <c r="F20" i="2"/>
  <c r="Q20" i="2"/>
  <c r="K20" i="2"/>
  <c r="J59" i="2"/>
  <c r="V20" i="2"/>
  <c r="E59" i="2"/>
  <c r="AJ19" i="2" l="1"/>
  <c r="AC97" i="2"/>
  <c r="AI19" i="2"/>
  <c r="W97" i="2"/>
  <c r="AH19" i="2"/>
  <c r="AB97" i="2"/>
  <c r="AB99" i="2" s="1"/>
  <c r="P97" i="2"/>
  <c r="X97" i="2"/>
  <c r="AD97" i="2"/>
  <c r="Q97" i="2"/>
  <c r="P99" i="2" s="1"/>
  <c r="V97" i="2"/>
  <c r="V100" i="2" s="1"/>
  <c r="J97" i="2"/>
  <c r="K97" i="2"/>
  <c r="R97" i="2"/>
  <c r="L97" i="2"/>
  <c r="F97" i="2"/>
  <c r="E97" i="2"/>
  <c r="D97" i="2"/>
  <c r="W58" i="2"/>
  <c r="AC58" i="2"/>
  <c r="R58" i="2"/>
  <c r="Q58" i="2"/>
  <c r="AD58" i="2"/>
  <c r="V58" i="2"/>
  <c r="AB58" i="2"/>
  <c r="P58" i="2"/>
  <c r="X58" i="2"/>
  <c r="E58" i="2"/>
  <c r="J58" i="2"/>
  <c r="K58" i="2"/>
  <c r="L58" i="2"/>
  <c r="F58" i="2"/>
  <c r="D58" i="2"/>
  <c r="AC19" i="2"/>
  <c r="AD19" i="2"/>
  <c r="AB19" i="2"/>
  <c r="F19" i="2"/>
  <c r="V19" i="2"/>
  <c r="P19" i="2"/>
  <c r="X19" i="2"/>
  <c r="Q19" i="2"/>
  <c r="W19" i="2"/>
  <c r="L19" i="2"/>
  <c r="K19" i="2"/>
  <c r="R19" i="2"/>
  <c r="D19" i="2"/>
  <c r="J19" i="2"/>
  <c r="E19" i="2"/>
  <c r="AH22" i="2" l="1"/>
  <c r="J100" i="2"/>
  <c r="AB100" i="2"/>
  <c r="AH21" i="2"/>
  <c r="V60" i="2"/>
  <c r="V99" i="2"/>
  <c r="J99" i="2"/>
  <c r="P100" i="2"/>
  <c r="AB61" i="2"/>
  <c r="P61" i="2"/>
  <c r="D99" i="2"/>
  <c r="D100" i="2"/>
  <c r="V61" i="2"/>
  <c r="P60" i="2"/>
  <c r="J60" i="2"/>
  <c r="AB60" i="2"/>
  <c r="AB21" i="2"/>
  <c r="D61" i="2"/>
  <c r="J61" i="2"/>
  <c r="AB22" i="2"/>
  <c r="D60" i="2"/>
  <c r="V22" i="2"/>
  <c r="P21" i="2"/>
  <c r="J21" i="2"/>
  <c r="J22" i="2"/>
  <c r="V21" i="2"/>
  <c r="P22" i="2"/>
  <c r="D21" i="2"/>
  <c r="D22" i="2"/>
</calcChain>
</file>

<file path=xl/sharedStrings.xml><?xml version="1.0" encoding="utf-8"?>
<sst xmlns="http://schemas.openxmlformats.org/spreadsheetml/2006/main" count="290" uniqueCount="45">
  <si>
    <t>MelKO_Light</t>
  </si>
  <si>
    <t>MelKO_Dark</t>
  </si>
  <si>
    <t>SEM</t>
  </si>
  <si>
    <t>Retina</t>
  </si>
  <si>
    <t>Avg</t>
  </si>
  <si>
    <t>Background Firing Rate</t>
  </si>
  <si>
    <t>Background Interspike Interval</t>
  </si>
  <si>
    <t>Percent of Spikes Occurring in Bursts</t>
  </si>
  <si>
    <t>Dark</t>
  </si>
  <si>
    <t>Light</t>
  </si>
  <si>
    <t>Recovery</t>
  </si>
  <si>
    <t>Burst Frequency</t>
  </si>
  <si>
    <t>Interburst Interval</t>
  </si>
  <si>
    <t>Burst Duration</t>
  </si>
  <si>
    <t>Spikes Per Burst</t>
  </si>
  <si>
    <t>Cell</t>
  </si>
  <si>
    <t>WT_Dark</t>
  </si>
  <si>
    <t>WT_Light</t>
  </si>
  <si>
    <t>WT_DarkRecovery</t>
  </si>
  <si>
    <t>MelKO_DarkRecovery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</si>
  <si>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</si>
  <si>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</si>
  <si>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</si>
  <si>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</si>
  <si>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</si>
  <si>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</si>
  <si>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</si>
  <si>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</si>
  <si>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 Firing Rate</t>
  </si>
  <si>
    <t>Burst Interspike Interval</t>
  </si>
  <si>
    <t>Percent Burst Time &gt;10 Hz</t>
  </si>
  <si>
    <t>WT_Recovery</t>
  </si>
  <si>
    <t>Ratio</t>
  </si>
  <si>
    <t>% Change</t>
  </si>
  <si>
    <t>BurstDuration</t>
  </si>
  <si>
    <t>BurstFiringRate</t>
  </si>
  <si>
    <t>BurstISI</t>
  </si>
  <si>
    <t>PercentBurstTimeAbove10Hz</t>
  </si>
  <si>
    <t>SpikesPerBurst</t>
  </si>
  <si>
    <t>PercentBurstsInWaves</t>
  </si>
  <si>
    <t>Percent Bursts Occurring In Waves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</si>
  <si>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Retina 1, Unit adch_23a).  These can be found in the Cell_Units workbooks.</t>
    </r>
  </si>
  <si>
    <t>These units will then get marked on each experimental population.</t>
  </si>
  <si>
    <t>Marking will make it easier to exclude invalid units from further analysis (by deleting or filtering them out).</t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</si>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</sst>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0" fillId="5" borderId="0" xfId="3" applyFont="1" applyAlignment="1">
      <alignment horizontal="center" vertical="center" textRotation="90"/>
    </xf>
    <xf numFmtId="0" fontId="11" fillId="4" borderId="0" xfId="2" applyFont="1" applyAlignment="1">
      <alignment horizontal="center" vertical="center" textRotation="90"/>
    </xf>
    <xf numFmtId="0" fontId="12" fillId="3" borderId="0" xfId="1" applyFont="1" applyAlignment="1">
      <alignment horizontal="center" vertical="center" textRotation="90"/>
    </xf>
    <xf numFmtId="0" fontId="13" fillId="7" borderId="0" xfId="0" applyFont="1" applyFill="1" applyBorder="1" applyAlignment="1">
      <alignment horizontal="center" vertical="center"/>
    </xf>
    <xf numFmtId="0" fontId="10" fillId="5" borderId="0" xfId="3" applyFont="1" applyBorder="1" applyAlignment="1">
      <alignment horizontal="center" vertical="center"/>
    </xf>
    <xf numFmtId="0" fontId="11" fillId="4" borderId="0" xfId="2" applyFont="1" applyBorder="1" applyAlignment="1">
      <alignment horizontal="center" vertical="center"/>
    </xf>
    <xf numFmtId="0" fontId="12" fillId="3" borderId="0" xfId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4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Figures!$C$17</c:f>
          <c:strCache>
            <c:ptCount val="1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Figures!$C$17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Figures!$D$19:$F$19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142382656"/>
        <c:axId val="-11424011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Figures!$D$26:$F$26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Figures!$D$27:$F$27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Figures!$D$28:$F$28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Figures!$D$29:$F$29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Figures!$D$30:$F$30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Figures!$D$31:$F$31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Figures!$D$32:$F$32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2382656"/>
        <c:axId val="-1142401152"/>
      </c:lineChart>
      <c:catAx>
        <c:axId val="-11423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401152"/>
        <c:crosses val="autoZero"/>
        <c:auto val="1"/>
        <c:lblAlgn val="ctr"/>
        <c:lblOffset val="100"/>
        <c:noMultiLvlLbl val="0"/>
      </c:catAx>
      <c:valAx>
        <c:axId val="-1142401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3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Figures!$I$17</c:f>
          <c:strCache>
            <c:ptCount val="1"/>
            <c:pt idx="0">
              <c:v>Background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Figures!$I$17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Figures!$J$19:$L$19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142400064"/>
        <c:axId val="-12277434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Figures!$J$26:$L$26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Figures!$J$29:$L$29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Figures!$J$30:$L$30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Figures!$J$31:$L$31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Figures!$J$32:$L$32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2400064"/>
        <c:axId val="-1227743408"/>
      </c:lineChart>
      <c:catAx>
        <c:axId val="-11424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27743408"/>
        <c:crosses val="autoZero"/>
        <c:auto val="1"/>
        <c:lblAlgn val="ctr"/>
        <c:lblOffset val="100"/>
        <c:noMultiLvlLbl val="0"/>
      </c:catAx>
      <c:valAx>
        <c:axId val="-1227743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4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Figures!$O$17</c:f>
          <c:strCache>
            <c:ptCount val="1"/>
            <c:pt idx="0">
              <c:v>Percent of Spikes Occurring in Bursts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Figures!$O$17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Figures!$P$19:$R$19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227738512"/>
        <c:axId val="-12277510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Figures!$P$26:$R$26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Figures!$P$27:$R$27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Figures!$P$28:$R$28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Figures!$P$29:$R$29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Figures!$P$30:$R$30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Figures!$P$31:$R$31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Figures!$P$32:$R$32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7738512"/>
        <c:axId val="-1227751024"/>
      </c:lineChart>
      <c:catAx>
        <c:axId val="-122773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27751024"/>
        <c:crosses val="autoZero"/>
        <c:auto val="1"/>
        <c:lblAlgn val="ctr"/>
        <c:lblOffset val="100"/>
        <c:noMultiLvlLbl val="0"/>
      </c:catAx>
      <c:valAx>
        <c:axId val="-122775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2773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Figures!$U$17</c:f>
          <c:strCache>
            <c:ptCount val="1"/>
            <c:pt idx="0">
              <c:v>Burst Frequency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Figures!$U$17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Figures!$P$18:$R$18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Figures!$V$19:$X$19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227741232"/>
        <c:axId val="-13869712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Figures!$V$26:$X$26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Figures!$V$27:$X$27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Figures!$V$28:$X$28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Figures!$V$29:$X$29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Figures!$V$30:$X$30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Figures!$V$31:$X$31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Figures!$V$32:$X$32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7741232"/>
        <c:axId val="-1386971264"/>
      </c:lineChart>
      <c:catAx>
        <c:axId val="-122774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6971264"/>
        <c:crosses val="autoZero"/>
        <c:auto val="1"/>
        <c:lblAlgn val="ctr"/>
        <c:lblOffset val="100"/>
        <c:noMultiLvlLbl val="0"/>
      </c:catAx>
      <c:valAx>
        <c:axId val="-1386971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2774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Figures!$AA$17</c:f>
          <c:strCache>
            <c:ptCount val="1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Figures!$AA$17</c:f>
              <c:strCache>
                <c:ptCount val="1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Figures!$AB$19:$AD$19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86973440"/>
        <c:axId val="-13869620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Figures!$AB$26:$AD$26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Figures!$AB$27:$AD$27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Figures!$AB$28:$AD$28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Figures!$AB$29:$AD$29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Figures!$AB$30:$AD$30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Figures!$AB$31:$AD$31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Figures!$AB$32:$AD$32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6973440"/>
        <c:axId val="-1386962016"/>
      </c:lineChart>
      <c:catAx>
        <c:axId val="-138697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6962016"/>
        <c:crosses val="autoZero"/>
        <c:auto val="1"/>
        <c:lblAlgn val="ctr"/>
        <c:lblOffset val="100"/>
        <c:noMultiLvlLbl val="0"/>
      </c:catAx>
      <c:valAx>
        <c:axId val="-1386962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697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Figures!$C$56:$F$56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Figures!$C$56:$F$56</c:f>
              <c:strCache>
                <c:ptCount val="4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Figures!$D$58:$F$58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142755872"/>
        <c:axId val="-11427553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Figures!$D$65:$F$65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Figures!$D$66:$F$66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Figures!$D$67:$F$67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Figures!$D$68:$F$68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Figures!$D$69:$F$69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Figures!$D$70:$F$70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Figures!$D$71:$F$71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2755872"/>
        <c:axId val="-1142755328"/>
      </c:lineChart>
      <c:catAx>
        <c:axId val="-11427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755328"/>
        <c:crosses val="autoZero"/>
        <c:auto val="1"/>
        <c:lblAlgn val="ctr"/>
        <c:lblOffset val="100"/>
        <c:noMultiLvlLbl val="0"/>
      </c:catAx>
      <c:valAx>
        <c:axId val="-1142755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75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Figures!$I$56:$L$56</c:f>
          <c:strCache>
            <c:ptCount val="4"/>
            <c:pt idx="0">
              <c:v>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Figures!$I$56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Figures!$J$58:$L$58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87180960"/>
        <c:axId val="-11429006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Figures!$J$65:$L$65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Figures!$J$66:$L$66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Figures!$J$67:$L$67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Figures!$J$68:$L$68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Figures!$J$69:$L$69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Figures!$J$70:$L$70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Figures!$J$71:$L$71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7180960"/>
        <c:axId val="-1142900688"/>
      </c:lineChart>
      <c:catAx>
        <c:axId val="-13871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2900688"/>
        <c:crosses val="autoZero"/>
        <c:auto val="1"/>
        <c:lblAlgn val="ctr"/>
        <c:lblOffset val="100"/>
        <c:noMultiLvlLbl val="0"/>
      </c:catAx>
      <c:valAx>
        <c:axId val="-1142900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71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Figures!$O$56:$R$56</c:f>
          <c:strCache>
            <c:ptCount val="4"/>
            <c:pt idx="0">
              <c:v>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Figures!$O$56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68048"/>
        <c:axId val="-6228783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Figures!$P$65:$R$65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Figures!$P$66:$R$66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Figures!$P$67:$R$67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Figures!$P$68:$R$68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Figures!$P$69:$R$69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Figures!$P$70:$R$70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68048"/>
        <c:axId val="-622878384"/>
      </c:lineChart>
      <c:catAx>
        <c:axId val="-6228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78384"/>
        <c:crosses val="autoZero"/>
        <c:auto val="1"/>
        <c:lblAlgn val="ctr"/>
        <c:lblOffset val="100"/>
        <c:noMultiLvlLbl val="0"/>
      </c:catAx>
      <c:valAx>
        <c:axId val="-622878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Figures!$U$56:$X$56</c:f>
          <c:strCache>
            <c:ptCount val="4"/>
            <c:pt idx="0">
              <c:v>Percent 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Figures!$U$56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81648"/>
        <c:axId val="-6228642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Figures!$V$65:$X$65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Figures!$V$66:$X$66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Figures!$V$67:$X$67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Figures!$V$68:$X$68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Figures!$V$69:$X$69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Figures!$V$70:$X$70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81648"/>
        <c:axId val="-622864240"/>
      </c:lineChart>
      <c:catAx>
        <c:axId val="-6228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4240"/>
        <c:crosses val="autoZero"/>
        <c:auto val="1"/>
        <c:lblAlgn val="ctr"/>
        <c:lblOffset val="100"/>
        <c:noMultiLvlLbl val="0"/>
      </c:catAx>
      <c:valAx>
        <c:axId val="-622864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Figures!$AA$56:$AD$56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Figures!$AA$56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Figures!$AB$58:$AD$58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88720"/>
        <c:axId val="-6228860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Figures!$AB$65:$AD$65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Figures!$AB$66:$AD$66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Figures!$AB$67:$AD$67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Figures!$AB$68:$AD$68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Figures!$AB$69:$AD$69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Figures!$AB$70:$AD$70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Figures!$AB$71:$AD$71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88720"/>
        <c:axId val="-622886000"/>
      </c:lineChart>
      <c:catAx>
        <c:axId val="-62288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6000"/>
        <c:crosses val="autoZero"/>
        <c:auto val="1"/>
        <c:lblAlgn val="ctr"/>
        <c:lblOffset val="100"/>
        <c:noMultiLvlLbl val="0"/>
      </c:catAx>
      <c:valAx>
        <c:axId val="-6228860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Figures!$C$95:$F$95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Figures!$C$95</c:f>
              <c:strCache>
                <c:ptCount val="1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Figures!$D$97:$F$97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77296"/>
        <c:axId val="-62288545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Figures!$D$104:$F$104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Figures!$D$105:$F$105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Figures!$D$106:$F$106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Figures!$D$107:$F$107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Figures!$D$108:$F$108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Figures!$D$109:$F$109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Figures!$D$110:$F$110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77296"/>
        <c:axId val="-622885456"/>
      </c:lineChart>
      <c:catAx>
        <c:axId val="-62287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5456"/>
        <c:crosses val="autoZero"/>
        <c:auto val="1"/>
        <c:lblAlgn val="ctr"/>
        <c:lblOffset val="100"/>
        <c:noMultiLvlLbl val="0"/>
      </c:catAx>
      <c:valAx>
        <c:axId val="-622885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Figures!$I$95:$L$95</c:f>
          <c:strCache>
            <c:ptCount val="4"/>
            <c:pt idx="0">
              <c:v>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Figures!$I$95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Figures!$J$97:$L$97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76752"/>
        <c:axId val="-6228631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Figures!$J$104:$L$104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Figures!$J$105:$L$105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Figures!$J$106:$L$106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Figures!$J$107:$L$107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Figures!$J$108:$L$108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Figures!$J$109:$L$109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Figures!$J$110:$L$110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76752"/>
        <c:axId val="-622863152"/>
      </c:lineChart>
      <c:catAx>
        <c:axId val="-62287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3152"/>
        <c:crosses val="autoZero"/>
        <c:auto val="1"/>
        <c:lblAlgn val="ctr"/>
        <c:lblOffset val="100"/>
        <c:noMultiLvlLbl val="0"/>
      </c:catAx>
      <c:valAx>
        <c:axId val="-62286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7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Figures!$O$95:$R$95</c:f>
          <c:strCache>
            <c:ptCount val="4"/>
            <c:pt idx="0">
              <c:v>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Figures!$O$95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Figures!$P$97:$R$97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58800"/>
        <c:axId val="-6228658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Figures!$P$104:$R$104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Figures!$P$105:$R$105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Figures!$P$106:$R$106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Figures!$P$107:$R$107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Figures!$P$108:$R$108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Figures!$P$109:$R$109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Figures!$P$110:$R$110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58800"/>
        <c:axId val="-622865872"/>
      </c:lineChart>
      <c:catAx>
        <c:axId val="-62285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5872"/>
        <c:crosses val="autoZero"/>
        <c:auto val="1"/>
        <c:lblAlgn val="ctr"/>
        <c:lblOffset val="100"/>
        <c:noMultiLvlLbl val="0"/>
      </c:catAx>
      <c:valAx>
        <c:axId val="-6228658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5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Figures!$U$95:$X$95</c:f>
          <c:strCache>
            <c:ptCount val="4"/>
            <c:pt idx="0">
              <c:v>Percent 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Figures!$U$95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Figures!$V$97:$X$97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80560"/>
        <c:axId val="-6228685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Figures!$V$104:$X$104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Figures!$V$105:$X$105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Figures!$V$106:$X$106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Figures!$V$107:$X$107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Figures!$V$108:$X$108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Figures!$V$109:$X$109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Figures!$V$110:$X$110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80560"/>
        <c:axId val="-622868592"/>
      </c:lineChart>
      <c:catAx>
        <c:axId val="-62288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8592"/>
        <c:crosses val="autoZero"/>
        <c:auto val="1"/>
        <c:lblAlgn val="ctr"/>
        <c:lblOffset val="100"/>
        <c:noMultiLvlLbl val="0"/>
      </c:catAx>
      <c:valAx>
        <c:axId val="-622868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Figures!$AA$95:$AD$95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Figures!$AA$95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Figures!$AB$97:$AD$97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62608"/>
        <c:axId val="-6228800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Figures!$AB$104:$AD$104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Figures!$AB$105:$AD$105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Figures!$AB$106:$AD$106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Figures!$AB$107:$AD$107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Figures!$AB$108:$AD$108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Figures!$AB$109:$AD$109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Figures!$AB$110:$AD$110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62608"/>
        <c:axId val="-622880016"/>
      </c:lineChart>
      <c:catAx>
        <c:axId val="-62286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80016"/>
        <c:crosses val="autoZero"/>
        <c:auto val="1"/>
        <c:lblAlgn val="ctr"/>
        <c:lblOffset val="100"/>
        <c:noMultiLvlLbl val="0"/>
      </c:catAx>
      <c:valAx>
        <c:axId val="-622880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Figures!$AG$17</c:f>
          <c:strCache>
            <c:ptCount val="1"/>
            <c:pt idx="0">
              <c:v>Percent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Figures!$AG$17</c:f>
              <c:strCache>
                <c:ptCount val="1"/>
                <c:pt idx="0">
                  <c:v>Percent Bursts Occurring In Waves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Figures!$AH$19:$AJ$19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22867504"/>
        <c:axId val="-6228756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Figures!$AH$26:$AJ$26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Figures!$AH$27:$AJ$27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Figures!$AH$28:$AJ$28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Figures!$AH$29:$AJ$29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Figures!$AH$30:$AJ$30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Figures!$AH$31:$AJ$31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Figures!$AH$18:$AJ$18</c:f>
              <c:strCache>
                <c:ptCount val="3"/>
                <c:pt idx="0">
                  <c:v>Dark</c:v>
                </c:pt>
                <c:pt idx="1">
                  <c:v>Light</c:v>
                </c:pt>
                <c:pt idx="2">
                  <c:v>Recovery</c:v>
                </c:pt>
              </c:strCache>
            </c:strRef>
          </c:cat>
          <c:val>
            <c:numRef>
              <c:f>Figures!$AH$32:$AJ$32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867504"/>
        <c:axId val="-622875664"/>
      </c:lineChart>
      <c:catAx>
        <c:axId val="-6228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75664"/>
        <c:crosses val="autoZero"/>
        <c:auto val="1"/>
        <c:lblAlgn val="ctr"/>
        <c:lblOffset val="100"/>
        <c:noMultiLvlLbl val="0"/>
      </c:catAx>
      <c:valAx>
        <c:axId val="-6228756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286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7</xdr:col>
      <xdr:colOff>0</xdr:colOff>
      <xdr:row>14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13</xdr:col>
      <xdr:colOff>0</xdr:colOff>
      <xdr:row>14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609598</xdr:colOff>
      <xdr:row>0</xdr:row>
      <xdr:rowOff>0</xdr:rowOff>
    </xdr:from>
    <xdr:to>
      <xdr:col>18</xdr:col>
      <xdr:colOff>609599</xdr:colOff>
      <xdr:row>14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0</xdr:colOff>
      <xdr:row>14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52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13</xdr:col>
      <xdr:colOff>0</xdr:colOff>
      <xdr:row>52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</xdr:colOff>
      <xdr:row>36</xdr:row>
      <xdr:rowOff>0</xdr:rowOff>
    </xdr:from>
    <xdr:to>
      <xdr:col>19</xdr:col>
      <xdr:colOff>9525</xdr:colOff>
      <xdr:row>51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</xdr:colOff>
      <xdr:row>36</xdr:row>
      <xdr:rowOff>0</xdr:rowOff>
    </xdr:from>
    <xdr:to>
      <xdr:col>25</xdr:col>
      <xdr:colOff>1</xdr:colOff>
      <xdr:row>52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581025</xdr:colOff>
      <xdr:row>36</xdr:row>
      <xdr:rowOff>0</xdr:rowOff>
    </xdr:from>
    <xdr:to>
      <xdr:col>31</xdr:col>
      <xdr:colOff>0</xdr:colOff>
      <xdr:row>51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76</xdr:row>
      <xdr:rowOff>0</xdr:rowOff>
    </xdr:from>
    <xdr:to>
      <xdr:col>13</xdr:col>
      <xdr:colOff>0</xdr:colOff>
      <xdr:row>91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</xdr:colOff>
      <xdr:row>75</xdr:row>
      <xdr:rowOff>0</xdr:rowOff>
    </xdr:from>
    <xdr:to>
      <xdr:col>19</xdr:col>
      <xdr:colOff>9525</xdr:colOff>
      <xdr:row>90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1</xdr:colOff>
      <xdr:row>75</xdr:row>
      <xdr:rowOff>0</xdr:rowOff>
    </xdr:from>
    <xdr:to>
      <xdr:col>25</xdr:col>
      <xdr:colOff>1</xdr:colOff>
      <xdr:row>91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581025</xdr:colOff>
      <xdr:row>75</xdr:row>
      <xdr:rowOff>0</xdr:rowOff>
    </xdr:from>
    <xdr:to>
      <xdr:col>31</xdr:col>
      <xdr:colOff>0</xdr:colOff>
      <xdr:row>90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37</xdr:col>
      <xdr:colOff>0</xdr:colOff>
      <xdr:row>14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G8" totalsRowShown="0" headerRowDxfId="148" dataDxfId="147">
  <autoFilter ref="A1:G8"/>
  <tableColumns count="7">
    <tableColumn id="1" name="Retina" dataDxfId="146"/>
    <tableColumn id="2" name="MelKO_Dark" dataDxfId="145"/>
    <tableColumn id="3" name="MelKO_Light" dataDxfId="144"/>
    <tableColumn id="4" name="MelKO_DarkRecovery" dataDxfId="143"/>
    <tableColumn id="5" name="WT_Dark" dataDxfId="142"/>
    <tableColumn id="6" name="WT_Light" dataDxfId="141"/>
    <tableColumn id="7" name="WT_DarkRecovery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WT_Dark_All" displayName="WT_Dark_All" ref="A2:H3" headerRowDxfId="135" dataDxfId="134" totalsRowDxfId="133">
  <autoFilter ref="A2:H3"/>
  <tableColumns count="8">
    <tableColumn id="11" name="Retina" totalsRowLabel="Total" dataDxfId="132" totalsRowDxfId="131"/>
    <tableColumn id="1" name="Cell" totalsRowFunction="count" dataDxfId="130"/>
    <tableColumn id="2" name="BkgrdFiringRate" totalsRowFunction="average" dataDxfId="129"/>
    <tableColumn id="3" name="BkgrdISI" totalsRowFunction="average" dataDxfId="128"/>
    <tableColumn id="4" name="PercentSpikesInBursts" totalsRowFunction="average" dataDxfId="127"/>
    <tableColumn id="5" name="BurstFrequency" totalsRowFunction="average" dataDxfId="126"/>
    <tableColumn id="6" name="IBI" totalsRowFunction="average" dataDxfId="125"/>
    <tableColumn id="7" name="PercentBurstsInWaves" dataDxfId="124" totalsRowDxfId="1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Dark_WABs" displayName="WT_Dark_WABs" ref="A2:G3" headerRowDxfId="122" dataDxfId="121" totalsRowDxfId="120">
  <autoFilter ref="A2:G3"/>
  <tableColumns count="7">
    <tableColumn id="11" name="Retina" totalsRowLabel="Total" dataDxfId="119" totalsRowDxfId="118"/>
    <tableColumn id="1" name="Cell" totalsRowFunction="count" dataDxfId="117"/>
    <tableColumn id="20" name="BurstDuration" dataDxfId="116"/>
    <tableColumn id="21" name="BurstFiringRate" dataDxfId="115"/>
    <tableColumn id="23" name="BurstISI" dataDxfId="114"/>
    <tableColumn id="22" name="PercentBurstTimeAbove10Hz" dataDxfId="113"/>
    <tableColumn id="24" name="SpikesPerBurst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WT_Dark_NonWABs" displayName="WT_Dark_NonWABs" ref="A2:G3" headerRowDxfId="111" dataDxfId="110" totalsRowDxfId="109">
  <autoFilter ref="A2:G3"/>
  <tableColumns count="7">
    <tableColumn id="11" name="Retina" totalsRowLabel="Total" dataDxfId="108" totalsRowDxfId="107"/>
    <tableColumn id="1" name="Cell" totalsRowFunction="count" dataDxfId="106"/>
    <tableColumn id="25" name="BurstDuration" dataDxfId="105" totalsRowDxfId="104"/>
    <tableColumn id="26" name="BurstFiringRate" dataDxfId="103" totalsRowDxfId="102"/>
    <tableColumn id="28" name="BurstISI" dataDxfId="101" totalsRowDxfId="100"/>
    <tableColumn id="27" name="PercentBurstTimeAbove10Hz" dataDxfId="99" totalsRowDxfId="98"/>
    <tableColumn id="29" name="SpikesPerBurst" dataDxfId="97" totalsRow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WT_Light_All" displayName="WT_Light_All" ref="A2:H3" headerRowDxfId="95" dataDxfId="94">
  <autoFilter ref="A2:H3"/>
  <tableColumns count="8">
    <tableColumn id="11" name="Retina" totalsRowLabel="Total" dataDxfId="93" totalsRowDxfId="92"/>
    <tableColumn id="1" name="Cell" dataDxfId="91" totalsRowDxfId="90"/>
    <tableColumn id="2" name="BkgrdFiringRate" totalsRowFunction="average" dataDxfId="89" totalsRowDxfId="88"/>
    <tableColumn id="3" name="BkgrdISI" totalsRowFunction="average" dataDxfId="87" totalsRowDxfId="86"/>
    <tableColumn id="4" name="PercentSpikesInBursts" totalsRowFunction="average" dataDxfId="85" totalsRowDxfId="84"/>
    <tableColumn id="5" name="BurstFrequency" totalsRowFunction="average" dataDxfId="83" totalsRowDxfId="82"/>
    <tableColumn id="6" name="IBI" totalsRowFunction="average" dataDxfId="81"/>
    <tableColumn id="7" name="PercentBurstsInWaves" dataDxfId="80" totalsRow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WT_Light_WABs" displayName="WT_Light_WABs" ref="A2:G3" headerRowDxfId="78" dataDxfId="77">
  <autoFilter ref="A2:G3"/>
  <tableColumns count="7">
    <tableColumn id="11" name="Retina" totalsRowLabel="Total" dataDxfId="76" totalsRowDxfId="75"/>
    <tableColumn id="1" name="Cell" dataDxfId="74" totalsRowDxfId="73"/>
    <tableColumn id="7" name="BurstDuration" totalsRowFunction="average" dataDxfId="72" totalsRowDxfId="71"/>
    <tableColumn id="8" name="BurstFiringRate" totalsRowFunction="average" dataDxfId="70" totalsRowDxfId="69"/>
    <tableColumn id="10" name="BurstISI" totalsRowFunction="average" dataDxfId="68" totalsRowDxfId="67"/>
    <tableColumn id="9" name="PercentBurstTimeAbove10Hz" totalsRowFunction="average" dataDxfId="66" totalsRowDxfId="65"/>
    <tableColumn id="12" name="SpikesPerBurst" dataDxfId="64" totalsRow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WT_Light_NonWABs" displayName="WT_Light_NonWABs" ref="A2:G3" headerRowDxfId="62" dataDxfId="61">
  <autoFilter ref="A2:G3"/>
  <tableColumns count="7">
    <tableColumn id="11" name="Retina" totalsRowLabel="Total" dataDxfId="60" totalsRowDxfId="59"/>
    <tableColumn id="1" name="Cell" dataDxfId="58" totalsRowDxfId="57"/>
    <tableColumn id="13" name="BurstDuration" dataDxfId="56" totalsRowDxfId="55"/>
    <tableColumn id="14" name="BurstFiringRate" dataDxfId="54" totalsRowDxfId="53"/>
    <tableColumn id="16" name="BurstISI" dataDxfId="52" totalsRowDxfId="51"/>
    <tableColumn id="15" name="PercentBurstTimeAbove10Hz" dataDxfId="50" totalsRowDxfId="49"/>
    <tableColumn id="17" name="SpikesPerBurst" dataDxfId="48" totalsRow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WT_Recovery_All" displayName="WT_Recovery_All" ref="A2:G3" headerRowDxfId="46" dataDxfId="45">
  <autoFilter ref="A2:G3"/>
  <tableColumns count="7">
    <tableColumn id="11" name="Retina" totalsRowLabel="Total" dataDxfId="44" totalsRowDxfId="43"/>
    <tableColumn id="1" name="Cell" dataDxfId="42" totalsRowDxfId="41"/>
    <tableColumn id="2" name="BkgrdFiringRate" totalsRowFunction="average" dataDxfId="40" totalsRowDxfId="39"/>
    <tableColumn id="3" name="BkgrdISI" totalsRowFunction="average" dataDxfId="38" totalsRowDxfId="37"/>
    <tableColumn id="4" name="PercentSpikesInBursts" totalsRowFunction="average" dataDxfId="36" totalsRowDxfId="35"/>
    <tableColumn id="5" name="BurstFrequency" totalsRowFunction="average" dataDxfId="34" totalsRowDxfId="33"/>
    <tableColumn id="6" name="IBI" totalsRowFunction="average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WT_Recovery_WABs" displayName="WT_Recovery_WABs" ref="A2:G3" headerRowDxfId="31" dataDxfId="30">
  <autoFilter ref="A2:G3"/>
  <tableColumns count="7">
    <tableColumn id="11" name="Retina" totalsRowLabel="Total" dataDxfId="29" totalsRowDxfId="28"/>
    <tableColumn id="1" name="Cell" dataDxfId="27" totalsRowDxfId="26"/>
    <tableColumn id="7" name="BurstDuration" totalsRowFunction="average" dataDxfId="25" totalsRowDxfId="24"/>
    <tableColumn id="8" name="BurstFiringRate" totalsRowFunction="average" dataDxfId="23" totalsRowDxfId="22"/>
    <tableColumn id="10" name="BurstISI" totalsRowFunction="average" dataDxfId="21" totalsRowDxfId="20"/>
    <tableColumn id="9" name="PercentBurstTimeAbove10Hz" totalsRowFunction="average" dataDxfId="19" totalsRowDxfId="18"/>
    <tableColumn id="12" name="SpikesPerBurst" dataDxfId="17" totalsRow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WT_Recovery_NonWABs" displayName="WT_Recovery_NonWABs" ref="A2:G3" headerRowDxfId="15" dataDxfId="14">
  <autoFilter ref="A2:G3"/>
  <tableColumns count="7">
    <tableColumn id="11" name="Retina" totalsRowLabel="Total" dataDxfId="13" totalsRowDxfId="12"/>
    <tableColumn id="1" name="Cell" dataDxfId="11" totalsRowDxfId="10"/>
    <tableColumn id="13" name="BurstDuration" dataDxfId="9" totalsRowDxfId="8"/>
    <tableColumn id="14" name="BurstFiringRate" dataDxfId="7" totalsRowDxfId="6"/>
    <tableColumn id="16" name="BurstISI" dataDxfId="5" totalsRowDxfId="4"/>
    <tableColumn id="15" name="PercentBurstTimeAbove10Hz" dataDxfId="3" totalsRowDxfId="2"/>
    <tableColumn id="17" name="SpikesPer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workbookViewId="0"/>
  </sheetViews>
  <sheetFormatPr defaultRowHeight="15" x14ac:dyDescent="0.25"/>
  <cols>
    <col min="1" max="1" width="9" style="19" bestFit="1" customWidth="1"/>
    <col min="2" max="2" width="14.42578125" style="19" bestFit="1" customWidth="1"/>
    <col min="3" max="3" width="14.7109375" style="19" bestFit="1" customWidth="1"/>
    <col min="4" max="4" width="22.85546875" style="19" bestFit="1" customWidth="1"/>
    <col min="5" max="5" width="40.5703125" style="19" bestFit="1" customWidth="1"/>
    <col min="6" max="6" width="40.7109375" style="19" bestFit="1" customWidth="1"/>
    <col min="7" max="7" width="44.5703125" style="19" bestFit="1" customWidth="1"/>
    <col min="8" max="16384" width="9.140625" style="19"/>
  </cols>
  <sheetData>
    <row r="1" spans="1:7" x14ac:dyDescent="0.25">
      <c r="A1" s="19" t="s">
        <v>3</v>
      </c>
      <c r="B1" s="19" t="s">
        <v>1</v>
      </c>
      <c r="C1" s="19" t="s">
        <v>0</v>
      </c>
      <c r="D1" s="19" t="s">
        <v>19</v>
      </c>
      <c r="E1" s="19" t="s">
        <v>16</v>
      </c>
      <c r="F1" s="19" t="s">
        <v>17</v>
      </c>
      <c r="G1" s="19" t="s">
        <v>18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  <row r="8" spans="1:7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tabSelected="1"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22" t="s">
        <v>41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22" t="s">
        <v>42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s="22" t="s">
        <v>43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x14ac:dyDescent="0.25">
      <c r="A4" s="22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x14ac:dyDescent="0.25">
      <c r="A5" s="16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5" x14ac:dyDescent="0.25">
      <c r="A6" s="13" t="s">
        <v>3</v>
      </c>
      <c r="B6" s="13" t="s">
        <v>44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20"/>
      <c r="B7" s="21"/>
      <c r="C7" s="20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20"/>
      <c r="B8" s="21"/>
      <c r="C8" s="20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20"/>
      <c r="B9" s="21"/>
      <c r="C9" s="15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1:15" x14ac:dyDescent="0.25">
      <c r="A10" s="20"/>
      <c r="B10" s="21"/>
      <c r="C10" s="20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20"/>
      <c r="B11" s="21"/>
      <c r="C11" s="20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20"/>
      <c r="B12" s="21"/>
      <c r="C12" s="20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20"/>
      <c r="B13" s="21"/>
      <c r="C13" s="15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</sheetData>
  <conditionalFormatting sqref="A13">
    <cfRule type="containsText" dxfId="139" priority="3" operator="containsText" text="dk">
      <formula>NOT(ISERROR(SEARCH("dk",A13)))</formula>
    </cfRule>
    <cfRule type="containsText" dxfId="138" priority="4" operator="containsText" text="k">
      <formula>NOT(ISERROR(SEARCH("k",A13)))</formula>
    </cfRule>
  </conditionalFormatting>
  <conditionalFormatting sqref="A7:A12">
    <cfRule type="containsText" dxfId="137" priority="1" operator="containsText" text="dk">
      <formula>NOT(ISERROR(SEARCH("dk",A7)))</formula>
    </cfRule>
    <cfRule type="containsText" dxfId="136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0"/>
  <sheetViews>
    <sheetView workbookViewId="0">
      <selection sqref="A1:A31"/>
    </sheetView>
  </sheetViews>
  <sheetFormatPr defaultRowHeight="15" x14ac:dyDescent="0.25"/>
  <cols>
    <col min="1" max="1" width="10" customWidth="1"/>
    <col min="3" max="3" width="9.5703125" style="1" bestFit="1" customWidth="1"/>
    <col min="4" max="4" width="8.85546875" style="1" bestFit="1" customWidth="1"/>
    <col min="5" max="5" width="9.140625" style="1" customWidth="1"/>
    <col min="6" max="6" width="13.140625" style="1" bestFit="1" customWidth="1"/>
    <col min="7" max="8" width="9.140625" style="1" customWidth="1"/>
    <col min="9" max="9" width="9.5703125" style="1" bestFit="1" customWidth="1"/>
    <col min="10" max="10" width="8.85546875" bestFit="1" customWidth="1"/>
    <col min="12" max="12" width="13.140625" bestFit="1" customWidth="1"/>
    <col min="15" max="15" width="9.5703125" bestFit="1" customWidth="1"/>
    <col min="16" max="16" width="8.85546875" bestFit="1" customWidth="1"/>
    <col min="17" max="17" width="9.140625" style="1"/>
    <col min="18" max="18" width="13.140625" style="1" bestFit="1" customWidth="1"/>
    <col min="19" max="19" width="9.140625" style="1" customWidth="1"/>
    <col min="21" max="21" width="9.5703125" bestFit="1" customWidth="1"/>
    <col min="22" max="22" width="8.85546875" bestFit="1" customWidth="1"/>
    <col min="24" max="24" width="13.140625" bestFit="1" customWidth="1"/>
    <col min="27" max="27" width="9.5703125" bestFit="1" customWidth="1"/>
    <col min="28" max="28" width="8.85546875" bestFit="1" customWidth="1"/>
    <col min="30" max="30" width="13.140625" bestFit="1" customWidth="1"/>
    <col min="33" max="33" width="9.5703125" bestFit="1" customWidth="1"/>
    <col min="34" max="34" width="8.85546875" bestFit="1" customWidth="1"/>
    <col min="36" max="36" width="13.140625" bestFit="1" customWidth="1"/>
  </cols>
  <sheetData>
    <row r="1" spans="1:19" ht="15" customHeight="1" x14ac:dyDescent="0.25">
      <c r="A1" s="34" t="s">
        <v>27</v>
      </c>
      <c r="Q1"/>
      <c r="R1"/>
      <c r="S1"/>
    </row>
    <row r="2" spans="1:19" x14ac:dyDescent="0.25">
      <c r="A2" s="34"/>
      <c r="Q2"/>
      <c r="R2"/>
      <c r="S2"/>
    </row>
    <row r="3" spans="1:19" x14ac:dyDescent="0.25">
      <c r="A3" s="34"/>
      <c r="Q3"/>
      <c r="R3"/>
      <c r="S3"/>
    </row>
    <row r="4" spans="1:19" x14ac:dyDescent="0.25">
      <c r="A4" s="34"/>
      <c r="Q4"/>
      <c r="R4"/>
      <c r="S4"/>
    </row>
    <row r="5" spans="1:19" x14ac:dyDescent="0.25">
      <c r="A5" s="34"/>
      <c r="Q5"/>
      <c r="R5"/>
      <c r="S5"/>
    </row>
    <row r="6" spans="1:19" x14ac:dyDescent="0.25">
      <c r="A6" s="34"/>
      <c r="Q6"/>
      <c r="R6"/>
      <c r="S6"/>
    </row>
    <row r="7" spans="1:19" x14ac:dyDescent="0.25">
      <c r="A7" s="34"/>
      <c r="Q7"/>
      <c r="R7"/>
      <c r="S7"/>
    </row>
    <row r="8" spans="1:19" x14ac:dyDescent="0.25">
      <c r="A8" s="34"/>
      <c r="Q8"/>
      <c r="R8"/>
      <c r="S8"/>
    </row>
    <row r="9" spans="1:19" x14ac:dyDescent="0.25">
      <c r="A9" s="34"/>
      <c r="Q9"/>
      <c r="R9"/>
      <c r="S9"/>
    </row>
    <row r="10" spans="1:19" x14ac:dyDescent="0.25">
      <c r="A10" s="34"/>
      <c r="Q10"/>
      <c r="R10"/>
      <c r="S10"/>
    </row>
    <row r="11" spans="1:19" x14ac:dyDescent="0.25">
      <c r="A11" s="34"/>
      <c r="Q11"/>
      <c r="R11"/>
      <c r="S11"/>
    </row>
    <row r="12" spans="1:19" x14ac:dyDescent="0.25">
      <c r="A12" s="34"/>
      <c r="Q12"/>
      <c r="R12"/>
      <c r="S12"/>
    </row>
    <row r="13" spans="1:19" x14ac:dyDescent="0.25">
      <c r="A13" s="34"/>
      <c r="Q13"/>
      <c r="R13"/>
      <c r="S13"/>
    </row>
    <row r="14" spans="1:19" x14ac:dyDescent="0.25">
      <c r="A14" s="34"/>
      <c r="Q14"/>
      <c r="R14"/>
      <c r="S14"/>
    </row>
    <row r="15" spans="1:19" x14ac:dyDescent="0.25">
      <c r="A15" s="34"/>
      <c r="Q15"/>
      <c r="R15"/>
      <c r="S15"/>
    </row>
    <row r="16" spans="1:19" x14ac:dyDescent="0.25">
      <c r="A16" s="34"/>
      <c r="Q16"/>
      <c r="R16"/>
      <c r="S16"/>
    </row>
    <row r="17" spans="1:36" ht="15.75" thickBot="1" x14ac:dyDescent="0.3">
      <c r="A17" s="34"/>
      <c r="C17" s="33" t="s">
        <v>5</v>
      </c>
      <c r="D17" s="33"/>
      <c r="E17" s="33"/>
      <c r="F17" s="33"/>
      <c r="I17" s="33" t="s">
        <v>6</v>
      </c>
      <c r="J17" s="33"/>
      <c r="K17" s="33"/>
      <c r="L17" s="33"/>
      <c r="O17" s="33" t="s">
        <v>7</v>
      </c>
      <c r="P17" s="33"/>
      <c r="Q17" s="33"/>
      <c r="R17" s="33"/>
      <c r="S17"/>
      <c r="U17" s="33" t="s">
        <v>11</v>
      </c>
      <c r="V17" s="33"/>
      <c r="W17" s="33"/>
      <c r="X17" s="33"/>
      <c r="AA17" s="33" t="s">
        <v>12</v>
      </c>
      <c r="AB17" s="33"/>
      <c r="AC17" s="33"/>
      <c r="AD17" s="33"/>
      <c r="AG17" s="33" t="s">
        <v>40</v>
      </c>
      <c r="AH17" s="33"/>
      <c r="AI17" s="33"/>
      <c r="AJ17" s="33"/>
    </row>
    <row r="18" spans="1:36" ht="15.75" thickBot="1" x14ac:dyDescent="0.3">
      <c r="A18" s="34"/>
      <c r="C18" s="5"/>
      <c r="D18" s="9" t="s">
        <v>8</v>
      </c>
      <c r="E18" s="9" t="s">
        <v>9</v>
      </c>
      <c r="F18" s="10" t="s">
        <v>10</v>
      </c>
      <c r="I18" s="5"/>
      <c r="J18" s="9" t="s">
        <v>8</v>
      </c>
      <c r="K18" s="9" t="s">
        <v>9</v>
      </c>
      <c r="L18" s="10" t="s">
        <v>10</v>
      </c>
      <c r="O18" s="5"/>
      <c r="P18" s="9" t="s">
        <v>8</v>
      </c>
      <c r="Q18" s="9" t="s">
        <v>9</v>
      </c>
      <c r="R18" s="10" t="s">
        <v>10</v>
      </c>
      <c r="S18"/>
      <c r="U18" s="5"/>
      <c r="V18" s="9" t="s">
        <v>8</v>
      </c>
      <c r="W18" s="9" t="s">
        <v>9</v>
      </c>
      <c r="X18" s="10" t="s">
        <v>10</v>
      </c>
      <c r="AA18" s="5"/>
      <c r="AB18" s="9" t="s">
        <v>8</v>
      </c>
      <c r="AC18" s="9" t="s">
        <v>9</v>
      </c>
      <c r="AD18" s="10" t="s">
        <v>10</v>
      </c>
      <c r="AG18" s="5"/>
      <c r="AH18" s="9" t="s">
        <v>8</v>
      </c>
      <c r="AI18" s="9" t="s">
        <v>9</v>
      </c>
      <c r="AJ18" s="10" t="s">
        <v>10</v>
      </c>
    </row>
    <row r="19" spans="1:36" x14ac:dyDescent="0.25">
      <c r="A19" s="34"/>
      <c r="C19" s="11" t="s">
        <v>4</v>
      </c>
      <c r="D19" s="7" t="e">
        <f ca="1">AVERAGE(D26:D32)</f>
        <v>#DIV/0!</v>
      </c>
      <c r="E19" s="7" t="e">
        <f ca="1">AVERAGE(E26:E32)</f>
        <v>#DIV/0!</v>
      </c>
      <c r="F19" s="8" t="e">
        <f ca="1">AVERAGE(F26:F32)</f>
        <v>#DIV/0!</v>
      </c>
      <c r="I19" s="11" t="s">
        <v>4</v>
      </c>
      <c r="J19" s="7" t="e">
        <f ca="1">AVERAGE(J26:J32)</f>
        <v>#DIV/0!</v>
      </c>
      <c r="K19" s="7" t="e">
        <f ca="1">AVERAGE(K26:K32)</f>
        <v>#DIV/0!</v>
      </c>
      <c r="L19" s="8" t="e">
        <f ca="1">AVERAGE(L26:L32)</f>
        <v>#DIV/0!</v>
      </c>
      <c r="O19" s="11" t="s">
        <v>4</v>
      </c>
      <c r="P19" s="7" t="e">
        <f ca="1">AVERAGE(P26:P32)</f>
        <v>#DIV/0!</v>
      </c>
      <c r="Q19" s="7" t="e">
        <f ca="1">AVERAGE(Q26:Q32)</f>
        <v>#DIV/0!</v>
      </c>
      <c r="R19" s="8" t="e">
        <f ca="1">AVERAGE(R26:R32)</f>
        <v>#DIV/0!</v>
      </c>
      <c r="S19"/>
      <c r="U19" s="11" t="s">
        <v>4</v>
      </c>
      <c r="V19" s="7" t="e">
        <f ca="1">AVERAGE(V26:V32)</f>
        <v>#DIV/0!</v>
      </c>
      <c r="W19" s="7" t="e">
        <f ca="1">AVERAGE(W26:W32)</f>
        <v>#DIV/0!</v>
      </c>
      <c r="X19" s="8" t="e">
        <f ca="1">AVERAGE(X26:X32)</f>
        <v>#DIV/0!</v>
      </c>
      <c r="AA19" s="11" t="s">
        <v>4</v>
      </c>
      <c r="AB19" s="7" t="e">
        <f ca="1">AVERAGE(AB26:AB32)</f>
        <v>#DIV/0!</v>
      </c>
      <c r="AC19" s="7" t="e">
        <f ca="1">AVERAGE(AC26:AC32)</f>
        <v>#DIV/0!</v>
      </c>
      <c r="AD19" s="8" t="e">
        <f ca="1">AVERAGE(AD26:AD32)</f>
        <v>#DIV/0!</v>
      </c>
      <c r="AG19" s="11" t="s">
        <v>4</v>
      </c>
      <c r="AH19" s="7" t="e">
        <f ca="1">AVERAGE(AH26:AH32)</f>
        <v>#DIV/0!</v>
      </c>
      <c r="AI19" s="7" t="e">
        <f ca="1">AVERAGE(AI26:AI32)</f>
        <v>#DIV/0!</v>
      </c>
      <c r="AJ19" s="8" t="e">
        <f ca="1">AVERAGE(AJ26:AJ32)</f>
        <v>#DIV/0!</v>
      </c>
    </row>
    <row r="20" spans="1:36" ht="15.75" thickBot="1" x14ac:dyDescent="0.3">
      <c r="A20" s="34"/>
      <c r="C20" s="4" t="s">
        <v>2</v>
      </c>
      <c r="D20" s="3" t="e">
        <f ca="1">sem(D26:D32)</f>
        <v>#VALUE!</v>
      </c>
      <c r="E20" s="3" t="e">
        <f ca="1">sem(E26:E32)</f>
        <v>#VALUE!</v>
      </c>
      <c r="F20" s="2" t="e">
        <f ca="1">sem(F26:F32)</f>
        <v>#VALUE!</v>
      </c>
      <c r="I20" s="4" t="s">
        <v>2</v>
      </c>
      <c r="J20" s="3" t="e">
        <f ca="1">sem(J26:J32)</f>
        <v>#VALUE!</v>
      </c>
      <c r="K20" s="3" t="e">
        <f ca="1">sem(K26:K32)</f>
        <v>#VALUE!</v>
      </c>
      <c r="L20" s="2" t="e">
        <f ca="1">sem(L26:L32)</f>
        <v>#VALUE!</v>
      </c>
      <c r="O20" s="4" t="s">
        <v>2</v>
      </c>
      <c r="P20" s="3" t="e">
        <f ca="1">sem(P26:P32)</f>
        <v>#VALUE!</v>
      </c>
      <c r="Q20" s="3" t="e">
        <f ca="1">sem(Q26:Q32)</f>
        <v>#VALUE!</v>
      </c>
      <c r="R20" s="2" t="e">
        <f ca="1">sem(R26:R32)</f>
        <v>#VALUE!</v>
      </c>
      <c r="S20"/>
      <c r="U20" s="4" t="s">
        <v>2</v>
      </c>
      <c r="V20" s="3" t="e">
        <f ca="1">sem(V26:V32)</f>
        <v>#VALUE!</v>
      </c>
      <c r="W20" s="3" t="e">
        <f ca="1">sem(W26:W32)</f>
        <v>#VALUE!</v>
      </c>
      <c r="X20" s="2" t="e">
        <f ca="1">sem(X26:X32)</f>
        <v>#VALUE!</v>
      </c>
      <c r="AA20" s="4" t="s">
        <v>2</v>
      </c>
      <c r="AB20" s="3" t="e">
        <f ca="1">sem(AB26:AB32)</f>
        <v>#VALUE!</v>
      </c>
      <c r="AC20" s="3" t="e">
        <f ca="1">sem(AC26:AC32)</f>
        <v>#VALUE!</v>
      </c>
      <c r="AD20" s="2" t="e">
        <f ca="1">sem(AD26:AD32)</f>
        <v>#VALUE!</v>
      </c>
      <c r="AG20" s="4" t="s">
        <v>2</v>
      </c>
      <c r="AH20" s="3" t="e">
        <f ca="1">sem(AH26:AH32)</f>
        <v>#VALUE!</v>
      </c>
      <c r="AI20" s="3" t="e">
        <f ca="1">sem(AI26:AI32)</f>
        <v>#VALUE!</v>
      </c>
      <c r="AJ20" s="2" t="e">
        <f ca="1">sem(AJ26:AJ32)</f>
        <v>#VALUE!</v>
      </c>
    </row>
    <row r="21" spans="1:36" x14ac:dyDescent="0.25">
      <c r="A21" s="34"/>
      <c r="C21" s="6" t="s">
        <v>33</v>
      </c>
      <c r="D21" s="1" t="e">
        <f ca="1">(E19-D19)/D19*100</f>
        <v>#DIV/0!</v>
      </c>
      <c r="I21" s="6" t="s">
        <v>33</v>
      </c>
      <c r="J21" s="1" t="e">
        <f ca="1">(K19-J19)/J19*100</f>
        <v>#DIV/0!</v>
      </c>
      <c r="K21" s="1"/>
      <c r="L21" s="1"/>
      <c r="O21" s="6" t="s">
        <v>33</v>
      </c>
      <c r="P21" s="1" t="e">
        <f ca="1">(Q19-P19)/P19*100</f>
        <v>#DIV/0!</v>
      </c>
      <c r="S21"/>
      <c r="U21" s="6" t="s">
        <v>33</v>
      </c>
      <c r="V21" s="1" t="e">
        <f ca="1">(W19-V19)/V19*100</f>
        <v>#DIV/0!</v>
      </c>
      <c r="W21" s="1"/>
      <c r="X21" s="1"/>
      <c r="AA21" s="6" t="s">
        <v>33</v>
      </c>
      <c r="AB21" s="1" t="e">
        <f ca="1">(AC19-AB19)/AB19*100</f>
        <v>#DIV/0!</v>
      </c>
      <c r="AC21" s="1"/>
      <c r="AD21" s="1"/>
      <c r="AG21" s="6" t="s">
        <v>33</v>
      </c>
      <c r="AH21" s="1" t="e">
        <f ca="1">(AI19-AH19)/AH19*100</f>
        <v>#DIV/0!</v>
      </c>
      <c r="AI21" s="1"/>
      <c r="AJ21" s="1"/>
    </row>
    <row r="22" spans="1:36" x14ac:dyDescent="0.25">
      <c r="A22" s="34"/>
      <c r="C22" s="6" t="s">
        <v>32</v>
      </c>
      <c r="D22" s="1" t="e">
        <f ca="1">E19/D19</f>
        <v>#DIV/0!</v>
      </c>
      <c r="I22" s="6" t="s">
        <v>32</v>
      </c>
      <c r="J22" s="1" t="e">
        <f ca="1">K19/J19</f>
        <v>#DIV/0!</v>
      </c>
      <c r="K22" s="1"/>
      <c r="L22" s="1"/>
      <c r="O22" s="6" t="s">
        <v>32</v>
      </c>
      <c r="P22" s="1" t="e">
        <f ca="1">Q19/P19</f>
        <v>#DIV/0!</v>
      </c>
      <c r="S22"/>
      <c r="U22" s="6" t="s">
        <v>32</v>
      </c>
      <c r="V22" s="1" t="e">
        <f ca="1">W19/V19</f>
        <v>#DIV/0!</v>
      </c>
      <c r="W22" s="1"/>
      <c r="X22" s="1"/>
      <c r="AA22" s="6" t="s">
        <v>32</v>
      </c>
      <c r="AB22" s="1" t="e">
        <f ca="1">AC19/AB19</f>
        <v>#DIV/0!</v>
      </c>
      <c r="AC22" s="1"/>
      <c r="AD22" s="1"/>
      <c r="AG22" s="6" t="s">
        <v>32</v>
      </c>
      <c r="AH22" s="1" t="e">
        <f ca="1">AI19/AH19</f>
        <v>#DIV/0!</v>
      </c>
      <c r="AI22" s="1"/>
      <c r="AJ22" s="1"/>
    </row>
    <row r="23" spans="1:36" x14ac:dyDescent="0.25">
      <c r="A23" s="34"/>
      <c r="J23" s="1"/>
      <c r="K23" s="1"/>
      <c r="L23" s="1"/>
      <c r="O23" s="1"/>
      <c r="P23" s="1"/>
      <c r="S23"/>
      <c r="U23" s="1"/>
      <c r="V23" s="1"/>
      <c r="W23" s="1"/>
      <c r="X23" s="1"/>
      <c r="AA23" s="1"/>
      <c r="AB23" s="1"/>
      <c r="AC23" s="1"/>
      <c r="AD23" s="1"/>
      <c r="AG23" s="1"/>
      <c r="AH23" s="1"/>
      <c r="AI23" s="1"/>
      <c r="AJ23" s="1"/>
    </row>
    <row r="24" spans="1:36" x14ac:dyDescent="0.25">
      <c r="A24" s="34"/>
      <c r="C24" s="1">
        <v>0</v>
      </c>
      <c r="I24" s="1">
        <v>1</v>
      </c>
      <c r="J24" s="1"/>
      <c r="K24" s="1"/>
      <c r="L24" s="1"/>
      <c r="O24" s="1">
        <v>2</v>
      </c>
      <c r="P24" s="1"/>
      <c r="S24"/>
      <c r="U24" s="1">
        <v>3</v>
      </c>
      <c r="V24" s="1"/>
      <c r="W24" s="1"/>
      <c r="X24" s="1"/>
      <c r="AA24" s="1">
        <v>4</v>
      </c>
      <c r="AB24" s="1"/>
      <c r="AC24" s="1"/>
      <c r="AD24" s="1"/>
      <c r="AG24" s="1">
        <v>5</v>
      </c>
      <c r="AH24" s="1"/>
      <c r="AI24" s="1"/>
      <c r="AJ24" s="1"/>
    </row>
    <row r="25" spans="1:36" x14ac:dyDescent="0.25">
      <c r="A25" s="34"/>
      <c r="C25" s="1" t="s">
        <v>3</v>
      </c>
      <c r="D25" s="1" t="s">
        <v>16</v>
      </c>
      <c r="E25" s="1" t="s">
        <v>17</v>
      </c>
      <c r="F25" s="1" t="s">
        <v>31</v>
      </c>
      <c r="I25" s="1" t="s">
        <v>3</v>
      </c>
      <c r="J25" s="1" t="s">
        <v>16</v>
      </c>
      <c r="K25" s="1" t="s">
        <v>17</v>
      </c>
      <c r="L25" s="1" t="s">
        <v>31</v>
      </c>
      <c r="O25" s="1" t="s">
        <v>3</v>
      </c>
      <c r="P25" s="1" t="s">
        <v>16</v>
      </c>
      <c r="Q25" s="1" t="s">
        <v>17</v>
      </c>
      <c r="R25" s="1" t="s">
        <v>31</v>
      </c>
      <c r="S25"/>
      <c r="U25" s="1" t="s">
        <v>3</v>
      </c>
      <c r="V25" s="1" t="s">
        <v>16</v>
      </c>
      <c r="W25" s="1" t="s">
        <v>17</v>
      </c>
      <c r="X25" s="1" t="s">
        <v>31</v>
      </c>
      <c r="AA25" s="1" t="s">
        <v>3</v>
      </c>
      <c r="AB25" s="1" t="s">
        <v>16</v>
      </c>
      <c r="AC25" s="1" t="s">
        <v>17</v>
      </c>
      <c r="AD25" s="1" t="s">
        <v>31</v>
      </c>
      <c r="AG25" s="1" t="s">
        <v>3</v>
      </c>
      <c r="AH25" s="1" t="s">
        <v>16</v>
      </c>
      <c r="AI25" s="1" t="s">
        <v>17</v>
      </c>
      <c r="AJ25" s="1" t="s">
        <v>31</v>
      </c>
    </row>
    <row r="26" spans="1:36" x14ac:dyDescent="0.25">
      <c r="A26" s="34"/>
      <c r="C26" s="1">
        <v>1</v>
      </c>
      <c r="D26" s="1" t="str">
        <f ca="1">IFERROR(AVERAGEIF(WT_Dark_All[Retina],C26,OFFSET(WT_Dark_All[BkgrdFiringRate],0,C$24)),"")</f>
        <v/>
      </c>
      <c r="E26" s="1" t="str">
        <f ca="1">IFERROR(AVERAGEIF(WT_Light_All[Retina],C26,OFFSET(WT_Light_All[BkgrdFiringRate],0,C$24)),"")</f>
        <v/>
      </c>
      <c r="F26" s="1" t="str">
        <f ca="1">IFERROR(AVERAGEIF(WT_Recovery_All[Retina],C26,OFFSET(WT_Recovery_All[BkgrdFiringRate],0,C$24)),"")</f>
        <v/>
      </c>
      <c r="I26" s="1">
        <v>1</v>
      </c>
      <c r="J26" s="1" t="str">
        <f ca="1">IFERROR(AVERAGEIF(WT_Dark_All[Retina],I26,OFFSET(WT_Dark_All[BkgrdFiringRate],0,I$24)),"")</f>
        <v/>
      </c>
      <c r="K26" s="1" t="str">
        <f ca="1">IFERROR(AVERAGEIF(WT_Light_All[Retina],I26,OFFSET(WT_Light_All[BkgrdFiringRate],0,I$24)),"")</f>
        <v/>
      </c>
      <c r="L26" s="1" t="str">
        <f ca="1">IFERROR(AVERAGEIF(WT_Recovery_All[Retina],I26,OFFSET(WT_Recovery_All[BkgrdFiringRate],0,I$24)),"")</f>
        <v/>
      </c>
      <c r="O26" s="1">
        <v>1</v>
      </c>
      <c r="P26" s="1" t="str">
        <f ca="1">IFERROR(AVERAGEIF(WT_Dark_All[Retina],O26,OFFSET(WT_Dark_All[BkgrdFiringRate],0,O$24)),"")</f>
        <v/>
      </c>
      <c r="Q26" s="1" t="str">
        <f ca="1">IFERROR(AVERAGEIF(WT_Light_All[Retina],O26,OFFSET(WT_Light_All[BkgrdFiringRate],0,O$24)),"")</f>
        <v/>
      </c>
      <c r="R26" s="1" t="str">
        <f ca="1">IFERROR(AVERAGEIF(WT_Recovery_All[Retina],O26,OFFSET(WT_Recovery_All[BkgrdFiringRate],0,O$24)),"")</f>
        <v/>
      </c>
      <c r="S26"/>
      <c r="U26" s="1">
        <v>1</v>
      </c>
      <c r="V26" s="1" t="str">
        <f ca="1">IFERROR(AVERAGEIF(WT_Dark_All[Retina],U26,OFFSET(WT_Dark_All[BkgrdFiringRate],0,U$24)),"")</f>
        <v/>
      </c>
      <c r="W26" s="1" t="str">
        <f ca="1">IFERROR(AVERAGEIF(WT_Light_All[Retina],U26,OFFSET(WT_Light_All[BkgrdFiringRate],0,U$24)),"")</f>
        <v/>
      </c>
      <c r="X26" s="1" t="str">
        <f ca="1">IFERROR(AVERAGEIF(WT_Recovery_All[Retina],U26,OFFSET(WT_Recovery_All[BkgrdFiringRate],0,U$24)),"")</f>
        <v/>
      </c>
      <c r="AA26" s="1">
        <v>1</v>
      </c>
      <c r="AB26" s="1" t="str">
        <f ca="1">IFERROR(AVERAGEIF(WT_Dark_All[Retina],AA26,OFFSET(WT_Dark_All[BkgrdFiringRate],0,AA$24)),"")</f>
        <v/>
      </c>
      <c r="AC26" s="1" t="str">
        <f ca="1">IFERROR(AVERAGEIF(WT_Light_All[Retina],AA26,OFFSET(WT_Light_All[BkgrdFiringRate],0,AA$24)),"")</f>
        <v/>
      </c>
      <c r="AD26" s="1" t="str">
        <f ca="1">IFERROR(AVERAGEIF(WT_Recovery_All[Retina],AA26,OFFSET(WT_Recovery_All[BkgrdFiringRate],0,AA$24)),"")</f>
        <v/>
      </c>
      <c r="AG26" s="1">
        <v>1</v>
      </c>
      <c r="AH26" s="1" t="str">
        <f ca="1">IFERROR(AVERAGEIF(WT_Dark_All[Retina],AG26,OFFSET(WT_Dark_All[BkgrdFiringRate],0,AG$24)),"")</f>
        <v/>
      </c>
      <c r="AI26" s="1" t="str">
        <f ca="1">IFERROR(AVERAGEIF(WT_Light_All[Retina],AG26,OFFSET(WT_Light_All[BkgrdFiringRate],0,AG$24)),"")</f>
        <v/>
      </c>
      <c r="AJ26" s="1" t="str">
        <f ca="1">IFERROR(AVERAGEIF(WT_Recovery_All[Retina],AG26,OFFSET(WT_Recovery_All[BkgrdFiringRate],0,AG$24)),"")</f>
        <v/>
      </c>
    </row>
    <row r="27" spans="1:36" x14ac:dyDescent="0.25">
      <c r="A27" s="34"/>
      <c r="C27" s="1">
        <v>2</v>
      </c>
      <c r="D27" s="1" t="str">
        <f ca="1">IFERROR(AVERAGEIF(WT_Dark_All[Retina],C27,OFFSET(WT_Dark_All[BkgrdFiringRate],0,C$24)),"")</f>
        <v/>
      </c>
      <c r="E27" s="1" t="str">
        <f ca="1">IFERROR(AVERAGEIF(WT_Light_All[Retina],C27,OFFSET(WT_Light_All[BkgrdFiringRate],0,C$24)),"")</f>
        <v/>
      </c>
      <c r="F27" s="1" t="str">
        <f ca="1">IFERROR(AVERAGEIF(WT_Recovery_All[Retina],C27,OFFSET(WT_Recovery_All[BkgrdFiringRate],0,C$24)),"")</f>
        <v/>
      </c>
      <c r="I27" s="1">
        <v>2</v>
      </c>
      <c r="J27" s="1" t="str">
        <f ca="1">IFERROR(AVERAGEIF(WT_Dark_All[Retina],I27,OFFSET(WT_Dark_All[BkgrdFiringRate],0,I$24)),"")</f>
        <v/>
      </c>
      <c r="K27" s="1" t="str">
        <f ca="1">IFERROR(AVERAGEIF(WT_Light_All[Retina],I27,OFFSET(WT_Light_All[BkgrdFiringRate],0,I$24)),"")</f>
        <v/>
      </c>
      <c r="L27" s="1" t="str">
        <f ca="1">IFERROR(AVERAGEIF(WT_Recovery_All[Retina],I27,OFFSET(WT_Recovery_All[BkgrdFiringRate],0,I$24)),"")</f>
        <v/>
      </c>
      <c r="O27" s="1">
        <v>2</v>
      </c>
      <c r="P27" s="1" t="str">
        <f ca="1">IFERROR(AVERAGEIF(WT_Dark_All[Retina],O27,OFFSET(WT_Dark_All[BkgrdFiringRate],0,O$24)),"")</f>
        <v/>
      </c>
      <c r="Q27" s="1" t="str">
        <f ca="1">IFERROR(AVERAGEIF(WT_Light_All[Retina],O27,OFFSET(WT_Light_All[BkgrdFiringRate],0,O$24)),"")</f>
        <v/>
      </c>
      <c r="R27" s="1" t="str">
        <f ca="1">IFERROR(AVERAGEIF(WT_Recovery_All[Retina],O27,OFFSET(WT_Recovery_All[BkgrdFiringRate],0,O$24)),"")</f>
        <v/>
      </c>
      <c r="S27"/>
      <c r="U27" s="1">
        <v>2</v>
      </c>
      <c r="V27" s="1" t="str">
        <f ca="1">IFERROR(AVERAGEIF(WT_Dark_All[Retina],U27,OFFSET(WT_Dark_All[BkgrdFiringRate],0,U$24)),"")</f>
        <v/>
      </c>
      <c r="W27" s="1" t="str">
        <f ca="1">IFERROR(AVERAGEIF(WT_Light_All[Retina],U27,OFFSET(WT_Light_All[BkgrdFiringRate],0,U$24)),"")</f>
        <v/>
      </c>
      <c r="X27" s="1" t="str">
        <f ca="1">IFERROR(AVERAGEIF(WT_Recovery_All[Retina],U27,OFFSET(WT_Recovery_All[BkgrdFiringRate],0,U$24)),"")</f>
        <v/>
      </c>
      <c r="AA27" s="1">
        <v>2</v>
      </c>
      <c r="AB27" s="1" t="str">
        <f ca="1">IFERROR(AVERAGEIF(WT_Dark_All[Retina],AA27,OFFSET(WT_Dark_All[BkgrdFiringRate],0,AA$24)),"")</f>
        <v/>
      </c>
      <c r="AC27" s="1" t="str">
        <f ca="1">IFERROR(AVERAGEIF(WT_Light_All[Retina],AA27,OFFSET(WT_Light_All[BkgrdFiringRate],0,AA$24)),"")</f>
        <v/>
      </c>
      <c r="AD27" s="1" t="str">
        <f ca="1">IFERROR(AVERAGEIF(WT_Recovery_All[Retina],AA27,OFFSET(WT_Recovery_All[BkgrdFiringRate],0,AA$24)),"")</f>
        <v/>
      </c>
      <c r="AG27" s="1">
        <v>2</v>
      </c>
      <c r="AH27" s="1" t="str">
        <f ca="1">IFERROR(AVERAGEIF(WT_Dark_All[Retina],AG27,OFFSET(WT_Dark_All[BkgrdFiringRate],0,AG$24)),"")</f>
        <v/>
      </c>
      <c r="AI27" s="1" t="str">
        <f ca="1">IFERROR(AVERAGEIF(WT_Light_All[Retina],AG27,OFFSET(WT_Light_All[BkgrdFiringRate],0,AG$24)),"")</f>
        <v/>
      </c>
      <c r="AJ27" s="1" t="str">
        <f ca="1">IFERROR(AVERAGEIF(WT_Recovery_All[Retina],AG27,OFFSET(WT_Recovery_All[BkgrdFiringRate],0,AG$24)),"")</f>
        <v/>
      </c>
    </row>
    <row r="28" spans="1:36" x14ac:dyDescent="0.25">
      <c r="A28" s="34"/>
      <c r="C28" s="1">
        <v>3</v>
      </c>
      <c r="D28" s="1" t="str">
        <f ca="1">IFERROR(AVERAGEIF(WT_Dark_All[Retina],C28,OFFSET(WT_Dark_All[BkgrdFiringRate],0,C$24)),"")</f>
        <v/>
      </c>
      <c r="E28" s="1" t="str">
        <f ca="1">IFERROR(AVERAGEIF(WT_Light_All[Retina],C28,OFFSET(WT_Light_All[BkgrdFiringRate],0,C$24)),"")</f>
        <v/>
      </c>
      <c r="F28" s="1" t="str">
        <f ca="1">IFERROR(AVERAGEIF(WT_Recovery_All[Retina],C28,OFFSET(WT_Recovery_All[BkgrdFiringRate],0,C$24)),"")</f>
        <v/>
      </c>
      <c r="I28" s="1">
        <v>3</v>
      </c>
      <c r="J28" s="1" t="str">
        <f ca="1">IFERROR(AVERAGEIF(WT_Dark_All[Retina],I28,OFFSET(WT_Dark_All[BkgrdFiringRate],0,I$24)),"")</f>
        <v/>
      </c>
      <c r="K28" s="1" t="str">
        <f ca="1">IFERROR(AVERAGEIF(WT_Light_All[Retina],I28,OFFSET(WT_Light_All[BkgrdFiringRate],0,I$24)),"")</f>
        <v/>
      </c>
      <c r="L28" s="1" t="str">
        <f ca="1">IFERROR(AVERAGEIF(WT_Recovery_All[Retina],I28,OFFSET(WT_Recovery_All[BkgrdFiringRate],0,I$24)),"")</f>
        <v/>
      </c>
      <c r="O28" s="1">
        <v>3</v>
      </c>
      <c r="P28" s="1" t="str">
        <f ca="1">IFERROR(AVERAGEIF(WT_Dark_All[Retina],O28,OFFSET(WT_Dark_All[BkgrdFiringRate],0,O$24)),"")</f>
        <v/>
      </c>
      <c r="Q28" s="1" t="str">
        <f ca="1">IFERROR(AVERAGEIF(WT_Light_All[Retina],O28,OFFSET(WT_Light_All[BkgrdFiringRate],0,O$24)),"")</f>
        <v/>
      </c>
      <c r="R28" s="1" t="str">
        <f ca="1">IFERROR(AVERAGEIF(WT_Recovery_All[Retina],O28,OFFSET(WT_Recovery_All[BkgrdFiringRate],0,O$24)),"")</f>
        <v/>
      </c>
      <c r="S28"/>
      <c r="U28" s="1">
        <v>3</v>
      </c>
      <c r="V28" s="1" t="str">
        <f ca="1">IFERROR(AVERAGEIF(WT_Dark_All[Retina],U28,OFFSET(WT_Dark_All[BkgrdFiringRate],0,U$24)),"")</f>
        <v/>
      </c>
      <c r="W28" s="1" t="str">
        <f ca="1">IFERROR(AVERAGEIF(WT_Light_All[Retina],U28,OFFSET(WT_Light_All[BkgrdFiringRate],0,U$24)),"")</f>
        <v/>
      </c>
      <c r="X28" s="1" t="str">
        <f ca="1">IFERROR(AVERAGEIF(WT_Recovery_All[Retina],U28,OFFSET(WT_Recovery_All[BkgrdFiringRate],0,U$24)),"")</f>
        <v/>
      </c>
      <c r="AA28" s="1">
        <v>3</v>
      </c>
      <c r="AB28" s="1" t="str">
        <f ca="1">IFERROR(AVERAGEIF(WT_Dark_All[Retina],AA28,OFFSET(WT_Dark_All[BkgrdFiringRate],0,AA$24)),"")</f>
        <v/>
      </c>
      <c r="AC28" s="1" t="str">
        <f ca="1">IFERROR(AVERAGEIF(WT_Light_All[Retina],AA28,OFFSET(WT_Light_All[BkgrdFiringRate],0,AA$24)),"")</f>
        <v/>
      </c>
      <c r="AD28" s="1" t="str">
        <f ca="1">IFERROR(AVERAGEIF(WT_Recovery_All[Retina],AA28,OFFSET(WT_Recovery_All[BkgrdFiringRate],0,AA$24)),"")</f>
        <v/>
      </c>
      <c r="AG28" s="1">
        <v>3</v>
      </c>
      <c r="AH28" s="1" t="str">
        <f ca="1">IFERROR(AVERAGEIF(WT_Dark_All[Retina],AG28,OFFSET(WT_Dark_All[BkgrdFiringRate],0,AG$24)),"")</f>
        <v/>
      </c>
      <c r="AI28" s="1" t="str">
        <f ca="1">IFERROR(AVERAGEIF(WT_Light_All[Retina],AG28,OFFSET(WT_Light_All[BkgrdFiringRate],0,AG$24)),"")</f>
        <v/>
      </c>
      <c r="AJ28" s="1" t="str">
        <f ca="1">IFERROR(AVERAGEIF(WT_Recovery_All[Retina],AG28,OFFSET(WT_Recovery_All[BkgrdFiringRate],0,AG$24)),"")</f>
        <v/>
      </c>
    </row>
    <row r="29" spans="1:36" x14ac:dyDescent="0.25">
      <c r="A29" s="34"/>
      <c r="C29" s="1">
        <v>4</v>
      </c>
      <c r="D29" s="1" t="str">
        <f ca="1">IFERROR(AVERAGEIF(WT_Dark_All[Retina],C29,OFFSET(WT_Dark_All[BkgrdFiringRate],0,C$24)),"")</f>
        <v/>
      </c>
      <c r="E29" s="1" t="str">
        <f ca="1">IFERROR(AVERAGEIF(WT_Light_All[Retina],C29,OFFSET(WT_Light_All[BkgrdFiringRate],0,C$24)),"")</f>
        <v/>
      </c>
      <c r="F29" s="1" t="str">
        <f ca="1">IFERROR(AVERAGEIF(WT_Recovery_All[Retina],C29,OFFSET(WT_Recovery_All[BkgrdFiringRate],0,C$24)),"")</f>
        <v/>
      </c>
      <c r="I29" s="1">
        <v>4</v>
      </c>
      <c r="J29" s="1" t="str">
        <f ca="1">IFERROR(AVERAGEIF(WT_Dark_All[Retina],I29,OFFSET(WT_Dark_All[BkgrdFiringRate],0,I$24)),"")</f>
        <v/>
      </c>
      <c r="K29" s="1" t="str">
        <f ca="1">IFERROR(AVERAGEIF(WT_Light_All[Retina],I29,OFFSET(WT_Light_All[BkgrdFiringRate],0,I$24)),"")</f>
        <v/>
      </c>
      <c r="L29" s="1" t="str">
        <f ca="1">IFERROR(AVERAGEIF(WT_Recovery_All[Retina],I29,OFFSET(WT_Recovery_All[BkgrdFiringRate],0,I$24)),"")</f>
        <v/>
      </c>
      <c r="O29" s="1">
        <v>4</v>
      </c>
      <c r="P29" s="1" t="str">
        <f ca="1">IFERROR(AVERAGEIF(WT_Dark_All[Retina],O29,OFFSET(WT_Dark_All[BkgrdFiringRate],0,O$24)),"")</f>
        <v/>
      </c>
      <c r="Q29" s="1" t="str">
        <f ca="1">IFERROR(AVERAGEIF(WT_Light_All[Retina],O29,OFFSET(WT_Light_All[BkgrdFiringRate],0,O$24)),"")</f>
        <v/>
      </c>
      <c r="R29" s="1" t="str">
        <f ca="1">IFERROR(AVERAGEIF(WT_Recovery_All[Retina],O29,OFFSET(WT_Recovery_All[BkgrdFiringRate],0,O$24)),"")</f>
        <v/>
      </c>
      <c r="S29"/>
      <c r="U29" s="1">
        <v>4</v>
      </c>
      <c r="V29" s="1" t="str">
        <f ca="1">IFERROR(AVERAGEIF(WT_Dark_All[Retina],U29,OFFSET(WT_Dark_All[BkgrdFiringRate],0,U$24)),"")</f>
        <v/>
      </c>
      <c r="W29" s="1" t="str">
        <f ca="1">IFERROR(AVERAGEIF(WT_Light_All[Retina],U29,OFFSET(WT_Light_All[BkgrdFiringRate],0,U$24)),"")</f>
        <v/>
      </c>
      <c r="X29" s="1" t="str">
        <f ca="1">IFERROR(AVERAGEIF(WT_Recovery_All[Retina],U29,OFFSET(WT_Recovery_All[BkgrdFiringRate],0,U$24)),"")</f>
        <v/>
      </c>
      <c r="AA29" s="1">
        <v>4</v>
      </c>
      <c r="AB29" s="1" t="str">
        <f ca="1">IFERROR(AVERAGEIF(WT_Dark_All[Retina],AA29,OFFSET(WT_Dark_All[BkgrdFiringRate],0,AA$24)),"")</f>
        <v/>
      </c>
      <c r="AC29" s="1" t="str">
        <f ca="1">IFERROR(AVERAGEIF(WT_Light_All[Retina],AA29,OFFSET(WT_Light_All[BkgrdFiringRate],0,AA$24)),"")</f>
        <v/>
      </c>
      <c r="AD29" s="1" t="str">
        <f ca="1">IFERROR(AVERAGEIF(WT_Recovery_All[Retina],AA29,OFFSET(WT_Recovery_All[BkgrdFiringRate],0,AA$24)),"")</f>
        <v/>
      </c>
      <c r="AG29" s="1">
        <v>4</v>
      </c>
      <c r="AH29" s="1" t="str">
        <f ca="1">IFERROR(AVERAGEIF(WT_Dark_All[Retina],AG29,OFFSET(WT_Dark_All[BkgrdFiringRate],0,AG$24)),"")</f>
        <v/>
      </c>
      <c r="AI29" s="1" t="str">
        <f ca="1">IFERROR(AVERAGEIF(WT_Light_All[Retina],AG29,OFFSET(WT_Light_All[BkgrdFiringRate],0,AG$24)),"")</f>
        <v/>
      </c>
      <c r="AJ29" s="1" t="str">
        <f ca="1">IFERROR(AVERAGEIF(WT_Recovery_All[Retina],AG29,OFFSET(WT_Recovery_All[BkgrdFiringRate],0,AG$24)),"")</f>
        <v/>
      </c>
    </row>
    <row r="30" spans="1:36" x14ac:dyDescent="0.25">
      <c r="A30" s="34"/>
      <c r="C30" s="1">
        <v>5</v>
      </c>
      <c r="D30" s="1" t="str">
        <f ca="1">IFERROR(AVERAGEIF(WT_Dark_All[Retina],C30,OFFSET(WT_Dark_All[BkgrdFiringRate],0,C$24)),"")</f>
        <v/>
      </c>
      <c r="E30" s="1" t="str">
        <f ca="1">IFERROR(AVERAGEIF(WT_Light_All[Retina],C30,OFFSET(WT_Light_All[BkgrdFiringRate],0,C$24)),"")</f>
        <v/>
      </c>
      <c r="F30" s="1" t="str">
        <f ca="1">IFERROR(AVERAGEIF(WT_Recovery_All[Retina],C30,OFFSET(WT_Recovery_All[BkgrdFiringRate],0,C$24)),"")</f>
        <v/>
      </c>
      <c r="I30" s="1">
        <v>5</v>
      </c>
      <c r="J30" s="1" t="str">
        <f ca="1">IFERROR(AVERAGEIF(WT_Dark_All[Retina],I30,OFFSET(WT_Dark_All[BkgrdFiringRate],0,I$24)),"")</f>
        <v/>
      </c>
      <c r="K30" s="1" t="str">
        <f ca="1">IFERROR(AVERAGEIF(WT_Light_All[Retina],I30,OFFSET(WT_Light_All[BkgrdFiringRate],0,I$24)),"")</f>
        <v/>
      </c>
      <c r="L30" s="1" t="str">
        <f ca="1">IFERROR(AVERAGEIF(WT_Recovery_All[Retina],I30,OFFSET(WT_Recovery_All[BkgrdFiringRate],0,I$24)),"")</f>
        <v/>
      </c>
      <c r="O30" s="1">
        <v>5</v>
      </c>
      <c r="P30" s="1" t="str">
        <f ca="1">IFERROR(AVERAGEIF(WT_Dark_All[Retina],O30,OFFSET(WT_Dark_All[BkgrdFiringRate],0,O$24)),"")</f>
        <v/>
      </c>
      <c r="Q30" s="1" t="str">
        <f ca="1">IFERROR(AVERAGEIF(WT_Light_All[Retina],O30,OFFSET(WT_Light_All[BkgrdFiringRate],0,O$24)),"")</f>
        <v/>
      </c>
      <c r="R30" s="1" t="str">
        <f ca="1">IFERROR(AVERAGEIF(WT_Recovery_All[Retina],O30,OFFSET(WT_Recovery_All[BkgrdFiringRate],0,O$24)),"")</f>
        <v/>
      </c>
      <c r="S30"/>
      <c r="U30" s="1">
        <v>5</v>
      </c>
      <c r="V30" s="1" t="str">
        <f ca="1">IFERROR(AVERAGEIF(WT_Dark_All[Retina],U30,OFFSET(WT_Dark_All[BkgrdFiringRate],0,U$24)),"")</f>
        <v/>
      </c>
      <c r="W30" s="1" t="str">
        <f ca="1">IFERROR(AVERAGEIF(WT_Light_All[Retina],U30,OFFSET(WT_Light_All[BkgrdFiringRate],0,U$24)),"")</f>
        <v/>
      </c>
      <c r="X30" s="1" t="str">
        <f ca="1">IFERROR(AVERAGEIF(WT_Recovery_All[Retina],U30,OFFSET(WT_Recovery_All[BkgrdFiringRate],0,U$24)),"")</f>
        <v/>
      </c>
      <c r="AA30" s="1">
        <v>5</v>
      </c>
      <c r="AB30" s="1" t="str">
        <f ca="1">IFERROR(AVERAGEIF(WT_Dark_All[Retina],AA30,OFFSET(WT_Dark_All[BkgrdFiringRate],0,AA$24)),"")</f>
        <v/>
      </c>
      <c r="AC30" s="1" t="str">
        <f ca="1">IFERROR(AVERAGEIF(WT_Light_All[Retina],AA30,OFFSET(WT_Light_All[BkgrdFiringRate],0,AA$24)),"")</f>
        <v/>
      </c>
      <c r="AD30" s="1" t="str">
        <f ca="1">IFERROR(AVERAGEIF(WT_Recovery_All[Retina],AA30,OFFSET(WT_Recovery_All[BkgrdFiringRate],0,AA$24)),"")</f>
        <v/>
      </c>
      <c r="AG30" s="1">
        <v>5</v>
      </c>
      <c r="AH30" s="1" t="str">
        <f ca="1">IFERROR(AVERAGEIF(WT_Dark_All[Retina],AG30,OFFSET(WT_Dark_All[BkgrdFiringRate],0,AG$24)),"")</f>
        <v/>
      </c>
      <c r="AI30" s="1" t="str">
        <f ca="1">IFERROR(AVERAGEIF(WT_Light_All[Retina],AG30,OFFSET(WT_Light_All[BkgrdFiringRate],0,AG$24)),"")</f>
        <v/>
      </c>
      <c r="AJ30" s="1" t="str">
        <f ca="1">IFERROR(AVERAGEIF(WT_Recovery_All[Retina],AG30,OFFSET(WT_Recovery_All[BkgrdFiringRate],0,AG$24)),"")</f>
        <v/>
      </c>
    </row>
    <row r="31" spans="1:36" x14ac:dyDescent="0.25">
      <c r="A31" s="34"/>
      <c r="C31" s="1">
        <v>6</v>
      </c>
      <c r="D31" s="1" t="str">
        <f ca="1">IFERROR(AVERAGEIF(WT_Dark_All[Retina],C31,OFFSET(WT_Dark_All[BkgrdFiringRate],0,C$24)),"")</f>
        <v/>
      </c>
      <c r="E31" s="1" t="str">
        <f ca="1">IFERROR(AVERAGEIF(WT_Light_All[Retina],C31,OFFSET(WT_Light_All[BkgrdFiringRate],0,C$24)),"")</f>
        <v/>
      </c>
      <c r="F31" s="1" t="str">
        <f ca="1">IFERROR(AVERAGEIF(WT_Recovery_All[Retina],C31,OFFSET(WT_Recovery_All[BkgrdFiringRate],0,C$24)),"")</f>
        <v/>
      </c>
      <c r="I31" s="1">
        <v>6</v>
      </c>
      <c r="J31" s="1" t="str">
        <f ca="1">IFERROR(AVERAGEIF(WT_Dark_All[Retina],I31,OFFSET(WT_Dark_All[BkgrdFiringRate],0,I$24)),"")</f>
        <v/>
      </c>
      <c r="K31" s="1" t="str">
        <f ca="1">IFERROR(AVERAGEIF(WT_Light_All[Retina],I31,OFFSET(WT_Light_All[BkgrdFiringRate],0,I$24)),"")</f>
        <v/>
      </c>
      <c r="L31" s="1" t="str">
        <f ca="1">IFERROR(AVERAGEIF(WT_Recovery_All[Retina],I31,OFFSET(WT_Recovery_All[BkgrdFiringRate],0,I$24)),"")</f>
        <v/>
      </c>
      <c r="O31" s="1">
        <v>6</v>
      </c>
      <c r="P31" s="1" t="str">
        <f ca="1">IFERROR(AVERAGEIF(WT_Dark_All[Retina],O31,OFFSET(WT_Dark_All[BkgrdFiringRate],0,O$24)),"")</f>
        <v/>
      </c>
      <c r="Q31" s="1" t="str">
        <f ca="1">IFERROR(AVERAGEIF(WT_Light_All[Retina],O31,OFFSET(WT_Light_All[BkgrdFiringRate],0,O$24)),"")</f>
        <v/>
      </c>
      <c r="R31" s="1" t="str">
        <f ca="1">IFERROR(AVERAGEIF(WT_Recovery_All[Retina],O31,OFFSET(WT_Recovery_All[BkgrdFiringRate],0,O$24)),"")</f>
        <v/>
      </c>
      <c r="S31"/>
      <c r="U31" s="1">
        <v>6</v>
      </c>
      <c r="V31" s="1" t="str">
        <f ca="1">IFERROR(AVERAGEIF(WT_Dark_All[Retina],U31,OFFSET(WT_Dark_All[BkgrdFiringRate],0,U$24)),"")</f>
        <v/>
      </c>
      <c r="W31" s="1" t="str">
        <f ca="1">IFERROR(AVERAGEIF(WT_Light_All[Retina],U31,OFFSET(WT_Light_All[BkgrdFiringRate],0,U$24)),"")</f>
        <v/>
      </c>
      <c r="X31" s="1" t="str">
        <f ca="1">IFERROR(AVERAGEIF(WT_Recovery_All[Retina],U31,OFFSET(WT_Recovery_All[BkgrdFiringRate],0,U$24)),"")</f>
        <v/>
      </c>
      <c r="AA31" s="1">
        <v>6</v>
      </c>
      <c r="AB31" s="1" t="str">
        <f ca="1">IFERROR(AVERAGEIF(WT_Dark_All[Retina],AA31,OFFSET(WT_Dark_All[BkgrdFiringRate],0,AA$24)),"")</f>
        <v/>
      </c>
      <c r="AC31" s="1" t="str">
        <f ca="1">IFERROR(AVERAGEIF(WT_Light_All[Retina],AA31,OFFSET(WT_Light_All[BkgrdFiringRate],0,AA$24)),"")</f>
        <v/>
      </c>
      <c r="AD31" s="1" t="str">
        <f ca="1">IFERROR(AVERAGEIF(WT_Recovery_All[Retina],AA31,OFFSET(WT_Recovery_All[BkgrdFiringRate],0,AA$24)),"")</f>
        <v/>
      </c>
      <c r="AG31" s="1">
        <v>6</v>
      </c>
      <c r="AH31" s="1" t="str">
        <f ca="1">IFERROR(AVERAGEIF(WT_Dark_All[Retina],AG31,OFFSET(WT_Dark_All[BkgrdFiringRate],0,AG$24)),"")</f>
        <v/>
      </c>
      <c r="AI31" s="1" t="str">
        <f ca="1">IFERROR(AVERAGEIF(WT_Light_All[Retina],AG31,OFFSET(WT_Light_All[BkgrdFiringRate],0,AG$24)),"")</f>
        <v/>
      </c>
      <c r="AJ31" s="1" t="str">
        <f ca="1">IFERROR(AVERAGEIF(WT_Recovery_All[Retina],AG31,OFFSET(WT_Recovery_All[BkgrdFiringRate],0,AG$24)),"")</f>
        <v/>
      </c>
    </row>
    <row r="32" spans="1:36" x14ac:dyDescent="0.25">
      <c r="C32" s="1">
        <v>7</v>
      </c>
      <c r="D32" s="1" t="str">
        <f ca="1">IFERROR(AVERAGEIF(WT_Dark_All[Retina],C32,OFFSET(WT_Dark_All[BkgrdFiringRate],0,C$24)),"")</f>
        <v/>
      </c>
      <c r="E32" s="1" t="str">
        <f ca="1">IFERROR(AVERAGEIF(WT_Light_All[Retina],C32,OFFSET(WT_Light_All[BkgrdFiringRate],0,C$24)),"")</f>
        <v/>
      </c>
      <c r="F32" s="1" t="str">
        <f ca="1">IFERROR(AVERAGEIF(WT_Recovery_All[Retina],C32,OFFSET(WT_Recovery_All[BkgrdFiringRate],0,C$24)),"")</f>
        <v/>
      </c>
      <c r="I32" s="1">
        <v>7</v>
      </c>
      <c r="J32" s="1" t="str">
        <f ca="1">IFERROR(AVERAGEIF(WT_Dark_All[Retina],I32,OFFSET(WT_Dark_All[BkgrdFiringRate],0,I$24)),"")</f>
        <v/>
      </c>
      <c r="K32" s="1" t="str">
        <f ca="1">IFERROR(AVERAGEIF(WT_Light_All[Retina],I32,OFFSET(WT_Light_All[BkgrdFiringRate],0,I$24)),"")</f>
        <v/>
      </c>
      <c r="L32" s="1" t="str">
        <f ca="1">IFERROR(AVERAGEIF(WT_Recovery_All[Retina],I32,OFFSET(WT_Recovery_All[BkgrdFiringRate],0,I$24)),"")</f>
        <v/>
      </c>
      <c r="O32" s="1">
        <v>7</v>
      </c>
      <c r="P32" s="1" t="str">
        <f ca="1">IFERROR(AVERAGEIF(WT_Dark_All[Retina],O32,OFFSET(WT_Dark_All[BkgrdFiringRate],0,O$24)),"")</f>
        <v/>
      </c>
      <c r="Q32" s="1" t="str">
        <f ca="1">IFERROR(AVERAGEIF(WT_Light_All[Retina],O32,OFFSET(WT_Light_All[BkgrdFiringRate],0,O$24)),"")</f>
        <v/>
      </c>
      <c r="R32" s="1" t="str">
        <f ca="1">IFERROR(AVERAGEIF(WT_Recovery_All[Retina],O32,OFFSET(WT_Recovery_All[BkgrdFiringRate],0,O$24)),"")</f>
        <v/>
      </c>
      <c r="S32"/>
      <c r="U32" s="1">
        <v>7</v>
      </c>
      <c r="V32" s="1" t="str">
        <f ca="1">IFERROR(AVERAGEIF(WT_Dark_All[Retina],U32,OFFSET(WT_Dark_All[BkgrdFiringRate],0,U$24)),"")</f>
        <v/>
      </c>
      <c r="W32" s="1" t="str">
        <f ca="1">IFERROR(AVERAGEIF(WT_Light_All[Retina],U32,OFFSET(WT_Light_All[BkgrdFiringRate],0,U$24)),"")</f>
        <v/>
      </c>
      <c r="X32" s="1" t="str">
        <f ca="1">IFERROR(AVERAGEIF(WT_Recovery_All[Retina],U32,OFFSET(WT_Recovery_All[BkgrdFiringRate],0,U$24)),"")</f>
        <v/>
      </c>
      <c r="AA32" s="1">
        <v>7</v>
      </c>
      <c r="AB32" s="1" t="str">
        <f ca="1">IFERROR(AVERAGEIF(WT_Dark_All[Retina],AA32,OFFSET(WT_Dark_All[BkgrdFiringRate],0,AA$24)),"")</f>
        <v/>
      </c>
      <c r="AC32" s="1" t="str">
        <f ca="1">IFERROR(AVERAGEIF(WT_Light_All[Retina],AA32,OFFSET(WT_Light_All[BkgrdFiringRate],0,AA$24)),"")</f>
        <v/>
      </c>
      <c r="AD32" s="1" t="str">
        <f ca="1">IFERROR(AVERAGEIF(WT_Recovery_All[Retina],AA32,OFFSET(WT_Recovery_All[BkgrdFiringRate],0,AA$24)),"")</f>
        <v/>
      </c>
      <c r="AG32" s="1">
        <v>7</v>
      </c>
      <c r="AH32" s="1" t="str">
        <f ca="1">IFERROR(AVERAGEIF(WT_Dark_All[Retina],AG32,OFFSET(WT_Dark_All[BkgrdFiringRate],0,AG$24)),"")</f>
        <v/>
      </c>
      <c r="AI32" s="1" t="str">
        <f ca="1">IFERROR(AVERAGEIF(WT_Light_All[Retina],AG32,OFFSET(WT_Light_All[BkgrdFiringRate],0,AG$24)),"")</f>
        <v/>
      </c>
      <c r="AJ32" s="1" t="str">
        <f ca="1">IFERROR(AVERAGEIF(WT_Recovery_All[Retina],AG32,OFFSET(WT_Recovery_All[BkgrdFiringRate],0,AG$24)),"")</f>
        <v/>
      </c>
    </row>
    <row r="33" spans="1:19" x14ac:dyDescent="0.25">
      <c r="Q33"/>
      <c r="R33"/>
      <c r="S33"/>
    </row>
    <row r="34" spans="1:19" s="25" customFormat="1" x14ac:dyDescent="0.25">
      <c r="C34" s="26"/>
      <c r="D34" s="26"/>
      <c r="E34" s="26"/>
      <c r="F34" s="26"/>
      <c r="G34" s="26"/>
      <c r="H34" s="26"/>
      <c r="I34" s="26"/>
      <c r="Q34" s="26"/>
      <c r="R34" s="26"/>
      <c r="S34" s="26"/>
    </row>
    <row r="37" spans="1:19" ht="15" customHeight="1" x14ac:dyDescent="0.25">
      <c r="A37" s="35" t="s">
        <v>23</v>
      </c>
      <c r="Q37"/>
      <c r="R37"/>
      <c r="S37"/>
    </row>
    <row r="38" spans="1:19" x14ac:dyDescent="0.25">
      <c r="A38" s="35"/>
    </row>
    <row r="39" spans="1:19" x14ac:dyDescent="0.25">
      <c r="A39" s="35"/>
    </row>
    <row r="40" spans="1:19" x14ac:dyDescent="0.25">
      <c r="A40" s="35"/>
    </row>
    <row r="41" spans="1:19" x14ac:dyDescent="0.25">
      <c r="A41" s="35"/>
    </row>
    <row r="42" spans="1:19" x14ac:dyDescent="0.25">
      <c r="A42" s="35"/>
    </row>
    <row r="43" spans="1:19" x14ac:dyDescent="0.25">
      <c r="A43" s="35"/>
    </row>
    <row r="44" spans="1:19" x14ac:dyDescent="0.25">
      <c r="A44" s="35"/>
    </row>
    <row r="45" spans="1:19" x14ac:dyDescent="0.25">
      <c r="A45" s="35"/>
    </row>
    <row r="46" spans="1:19" x14ac:dyDescent="0.25">
      <c r="A46" s="35"/>
    </row>
    <row r="47" spans="1:19" x14ac:dyDescent="0.25">
      <c r="A47" s="35"/>
    </row>
    <row r="48" spans="1:19" x14ac:dyDescent="0.25">
      <c r="A48" s="35"/>
    </row>
    <row r="49" spans="1:30" x14ac:dyDescent="0.25">
      <c r="A49" s="35"/>
    </row>
    <row r="50" spans="1:30" x14ac:dyDescent="0.25">
      <c r="A50" s="35"/>
    </row>
    <row r="51" spans="1:30" x14ac:dyDescent="0.25">
      <c r="A51" s="35"/>
    </row>
    <row r="52" spans="1:30" x14ac:dyDescent="0.25">
      <c r="A52" s="35"/>
    </row>
    <row r="53" spans="1:30" x14ac:dyDescent="0.25">
      <c r="A53" s="35"/>
      <c r="Q53"/>
      <c r="R53"/>
      <c r="S53"/>
    </row>
    <row r="54" spans="1:30" x14ac:dyDescent="0.25">
      <c r="A54" s="35"/>
    </row>
    <row r="55" spans="1:30" x14ac:dyDescent="0.25">
      <c r="A55" s="35"/>
    </row>
    <row r="56" spans="1:30" ht="15.75" thickBot="1" x14ac:dyDescent="0.3">
      <c r="A56" s="35"/>
      <c r="C56" s="33" t="s">
        <v>13</v>
      </c>
      <c r="D56" s="33"/>
      <c r="E56" s="33"/>
      <c r="F56" s="33"/>
      <c r="I56" s="33" t="s">
        <v>28</v>
      </c>
      <c r="J56" s="33"/>
      <c r="K56" s="33"/>
      <c r="L56" s="33"/>
      <c r="O56" s="33" t="s">
        <v>29</v>
      </c>
      <c r="P56" s="33"/>
      <c r="Q56" s="33"/>
      <c r="R56" s="33"/>
      <c r="U56" s="33" t="s">
        <v>30</v>
      </c>
      <c r="V56" s="33"/>
      <c r="W56" s="33"/>
      <c r="X56" s="33"/>
      <c r="AA56" s="33" t="s">
        <v>14</v>
      </c>
      <c r="AB56" s="33"/>
      <c r="AC56" s="33"/>
      <c r="AD56" s="33"/>
    </row>
    <row r="57" spans="1:30" ht="15.75" thickBot="1" x14ac:dyDescent="0.3">
      <c r="A57" s="35"/>
      <c r="C57" s="5"/>
      <c r="D57" s="9" t="s">
        <v>8</v>
      </c>
      <c r="E57" s="9" t="s">
        <v>9</v>
      </c>
      <c r="F57" s="10" t="s">
        <v>10</v>
      </c>
      <c r="I57" s="5"/>
      <c r="J57" s="9" t="s">
        <v>8</v>
      </c>
      <c r="K57" s="9" t="s">
        <v>9</v>
      </c>
      <c r="L57" s="10" t="s">
        <v>10</v>
      </c>
      <c r="O57" s="5"/>
      <c r="P57" s="9" t="s">
        <v>8</v>
      </c>
      <c r="Q57" s="9" t="s">
        <v>9</v>
      </c>
      <c r="R57" s="10" t="s">
        <v>10</v>
      </c>
      <c r="U57" s="5"/>
      <c r="V57" s="9" t="s">
        <v>8</v>
      </c>
      <c r="W57" s="9" t="s">
        <v>9</v>
      </c>
      <c r="X57" s="10" t="s">
        <v>10</v>
      </c>
      <c r="AA57" s="5"/>
      <c r="AB57" s="9" t="s">
        <v>8</v>
      </c>
      <c r="AC57" s="9" t="s">
        <v>9</v>
      </c>
      <c r="AD57" s="10" t="s">
        <v>10</v>
      </c>
    </row>
    <row r="58" spans="1:30" x14ac:dyDescent="0.25">
      <c r="A58" s="35"/>
      <c r="C58" s="11" t="s">
        <v>4</v>
      </c>
      <c r="D58" s="7" t="e">
        <f ca="1">AVERAGE(D65:D71)</f>
        <v>#DIV/0!</v>
      </c>
      <c r="E58" s="7" t="e">
        <f ca="1">AVERAGE(E65:E71)</f>
        <v>#DIV/0!</v>
      </c>
      <c r="F58" s="8" t="e">
        <f ca="1">AVERAGE(F65:F71)</f>
        <v>#DIV/0!</v>
      </c>
      <c r="I58" s="11" t="s">
        <v>4</v>
      </c>
      <c r="J58" s="7" t="e">
        <f ca="1">AVERAGE(J65:J71)</f>
        <v>#DIV/0!</v>
      </c>
      <c r="K58" s="7" t="e">
        <f ca="1">AVERAGE(K65:K71)</f>
        <v>#DIV/0!</v>
      </c>
      <c r="L58" s="8" t="e">
        <f ca="1">AVERAGE(L65:L71)</f>
        <v>#DIV/0!</v>
      </c>
      <c r="O58" s="11" t="s">
        <v>4</v>
      </c>
      <c r="P58" s="7" t="e">
        <f ca="1">AVERAGE(P65:P71)</f>
        <v>#DIV/0!</v>
      </c>
      <c r="Q58" s="7" t="e">
        <f ca="1">AVERAGE(Q65:Q71)</f>
        <v>#DIV/0!</v>
      </c>
      <c r="R58" s="8" t="e">
        <f ca="1">AVERAGE(R65:R71)</f>
        <v>#DIV/0!</v>
      </c>
      <c r="U58" s="11" t="s">
        <v>4</v>
      </c>
      <c r="V58" s="7" t="e">
        <f ca="1">AVERAGE(V65:V71)</f>
        <v>#DIV/0!</v>
      </c>
      <c r="W58" s="7" t="e">
        <f ca="1">AVERAGE(W65:W71)</f>
        <v>#DIV/0!</v>
      </c>
      <c r="X58" s="8" t="e">
        <f ca="1">AVERAGE(X65:X71)</f>
        <v>#DIV/0!</v>
      </c>
      <c r="AA58" s="11" t="s">
        <v>4</v>
      </c>
      <c r="AB58" s="7" t="e">
        <f ca="1">AVERAGE(AB65:AB71)</f>
        <v>#DIV/0!</v>
      </c>
      <c r="AC58" s="7" t="e">
        <f ca="1">AVERAGE(AC65:AC71)</f>
        <v>#DIV/0!</v>
      </c>
      <c r="AD58" s="8" t="e">
        <f ca="1">AVERAGE(AD65:AD71)</f>
        <v>#DIV/0!</v>
      </c>
    </row>
    <row r="59" spans="1:30" ht="15.75" thickBot="1" x14ac:dyDescent="0.3">
      <c r="A59" s="35"/>
      <c r="C59" s="4" t="s">
        <v>2</v>
      </c>
      <c r="D59" s="3" t="e">
        <f ca="1">sem(D65:D71)</f>
        <v>#VALUE!</v>
      </c>
      <c r="E59" s="3" t="e">
        <f ca="1">sem(E65:E71)</f>
        <v>#VALUE!</v>
      </c>
      <c r="F59" s="2" t="e">
        <f ca="1">sem(F65:F71)</f>
        <v>#VALUE!</v>
      </c>
      <c r="I59" s="4" t="s">
        <v>2</v>
      </c>
      <c r="J59" s="3" t="e">
        <f ca="1">sem(J65:J71)</f>
        <v>#VALUE!</v>
      </c>
      <c r="K59" s="3" t="e">
        <f ca="1">sem(K65:K71)</f>
        <v>#VALUE!</v>
      </c>
      <c r="L59" s="2" t="e">
        <f ca="1">sem(L65:L71)</f>
        <v>#VALUE!</v>
      </c>
      <c r="O59" s="4" t="s">
        <v>2</v>
      </c>
      <c r="P59" s="3" t="e">
        <f ca="1">sem(P65:P71)</f>
        <v>#VALUE!</v>
      </c>
      <c r="Q59" s="3" t="e">
        <f ca="1">sem(Q65:Q71)</f>
        <v>#VALUE!</v>
      </c>
      <c r="R59" s="2" t="e">
        <f ca="1">sem(R65:R71)</f>
        <v>#VALUE!</v>
      </c>
      <c r="U59" s="4" t="s">
        <v>2</v>
      </c>
      <c r="V59" s="3" t="e">
        <f ca="1">sem(V65:V71)</f>
        <v>#VALUE!</v>
      </c>
      <c r="W59" s="3" t="e">
        <f ca="1">sem(W65:W71)</f>
        <v>#VALUE!</v>
      </c>
      <c r="X59" s="2" t="e">
        <f ca="1">sem(X65:X71)</f>
        <v>#VALUE!</v>
      </c>
      <c r="AA59" s="4" t="s">
        <v>2</v>
      </c>
      <c r="AB59" s="3" t="e">
        <f ca="1">sem(AB65:AB71)</f>
        <v>#VALUE!</v>
      </c>
      <c r="AC59" s="3" t="e">
        <f ca="1">sem(AC65:AC71)</f>
        <v>#VALUE!</v>
      </c>
      <c r="AD59" s="2" t="e">
        <f ca="1">sem(AD65:AD71)</f>
        <v>#VALUE!</v>
      </c>
    </row>
    <row r="60" spans="1:30" x14ac:dyDescent="0.25">
      <c r="A60" s="35"/>
      <c r="C60" s="6" t="s">
        <v>33</v>
      </c>
      <c r="D60" s="1" t="e">
        <f ca="1">(E58-D58)/D58*100</f>
        <v>#DIV/0!</v>
      </c>
      <c r="I60" s="6" t="s">
        <v>33</v>
      </c>
      <c r="J60" s="1" t="e">
        <f ca="1">(K58-J58)/J58*100</f>
        <v>#DIV/0!</v>
      </c>
      <c r="K60" s="1"/>
      <c r="L60" s="1"/>
      <c r="O60" s="6" t="s">
        <v>33</v>
      </c>
      <c r="P60" s="1" t="e">
        <f ca="1">(Q58-P58)/P58*100</f>
        <v>#DIV/0!</v>
      </c>
      <c r="U60" s="6" t="s">
        <v>33</v>
      </c>
      <c r="V60" s="1" t="e">
        <f ca="1">(W58-V58)/V58*100</f>
        <v>#DIV/0!</v>
      </c>
      <c r="W60" s="1"/>
      <c r="X60" s="1"/>
      <c r="AA60" s="6" t="s">
        <v>33</v>
      </c>
      <c r="AB60" s="1" t="e">
        <f ca="1">(AC58-AB58)/AB58*100</f>
        <v>#DIV/0!</v>
      </c>
      <c r="AC60" s="1"/>
      <c r="AD60" s="1"/>
    </row>
    <row r="61" spans="1:30" x14ac:dyDescent="0.25">
      <c r="A61" s="35"/>
      <c r="C61" s="6" t="s">
        <v>32</v>
      </c>
      <c r="D61" s="1" t="e">
        <f ca="1">E58/D58</f>
        <v>#DIV/0!</v>
      </c>
      <c r="I61" s="6" t="s">
        <v>32</v>
      </c>
      <c r="J61" s="1" t="e">
        <f ca="1">K58/J58</f>
        <v>#DIV/0!</v>
      </c>
      <c r="K61" s="1"/>
      <c r="L61" s="1"/>
      <c r="O61" s="6" t="s">
        <v>32</v>
      </c>
      <c r="P61" s="1" t="e">
        <f ca="1">Q58/P58</f>
        <v>#DIV/0!</v>
      </c>
      <c r="U61" s="6" t="s">
        <v>32</v>
      </c>
      <c r="V61" s="1" t="e">
        <f ca="1">W58/V58</f>
        <v>#DIV/0!</v>
      </c>
      <c r="W61" s="1"/>
      <c r="X61" s="1"/>
      <c r="AA61" s="6" t="s">
        <v>32</v>
      </c>
      <c r="AB61" s="1" t="e">
        <f ca="1">AC58/AB58</f>
        <v>#DIV/0!</v>
      </c>
      <c r="AC61" s="1"/>
      <c r="AD61" s="1"/>
    </row>
    <row r="62" spans="1:30" x14ac:dyDescent="0.25">
      <c r="A62" s="35"/>
      <c r="J62" s="1"/>
      <c r="K62" s="1"/>
      <c r="L62" s="1"/>
      <c r="O62" s="1"/>
      <c r="P62" s="1"/>
      <c r="U62" s="1"/>
      <c r="V62" s="1"/>
      <c r="W62" s="1"/>
      <c r="X62" s="1"/>
      <c r="AA62" s="1"/>
      <c r="AB62" s="1"/>
      <c r="AC62" s="1"/>
      <c r="AD62" s="1"/>
    </row>
    <row r="63" spans="1:30" x14ac:dyDescent="0.25">
      <c r="A63" s="35"/>
      <c r="C63" s="1">
        <v>0</v>
      </c>
      <c r="I63" s="1">
        <v>1</v>
      </c>
      <c r="J63" s="1"/>
      <c r="K63" s="1"/>
      <c r="L63" s="1"/>
      <c r="O63" s="1">
        <v>2</v>
      </c>
      <c r="P63" s="1"/>
      <c r="U63" s="1">
        <v>3</v>
      </c>
      <c r="V63" s="1"/>
      <c r="W63" s="1"/>
      <c r="X63" s="1"/>
      <c r="AA63" s="1">
        <v>4</v>
      </c>
      <c r="AB63" s="1"/>
      <c r="AC63" s="1"/>
      <c r="AD63" s="1"/>
    </row>
    <row r="64" spans="1:30" x14ac:dyDescent="0.25">
      <c r="A64" s="35"/>
      <c r="C64" s="1" t="s">
        <v>3</v>
      </c>
      <c r="D64" s="1" t="s">
        <v>16</v>
      </c>
      <c r="E64" s="1" t="s">
        <v>17</v>
      </c>
      <c r="F64" s="1" t="s">
        <v>31</v>
      </c>
      <c r="I64" s="1" t="s">
        <v>3</v>
      </c>
      <c r="J64" s="1" t="s">
        <v>16</v>
      </c>
      <c r="K64" s="1" t="s">
        <v>17</v>
      </c>
      <c r="L64" s="1" t="s">
        <v>31</v>
      </c>
      <c r="O64" s="1" t="s">
        <v>3</v>
      </c>
      <c r="P64" s="1" t="s">
        <v>16</v>
      </c>
      <c r="Q64" s="1" t="s">
        <v>17</v>
      </c>
      <c r="R64" s="1" t="s">
        <v>31</v>
      </c>
      <c r="U64" s="1" t="s">
        <v>3</v>
      </c>
      <c r="V64" s="1" t="s">
        <v>16</v>
      </c>
      <c r="W64" s="1" t="s">
        <v>17</v>
      </c>
      <c r="X64" s="1" t="s">
        <v>31</v>
      </c>
      <c r="AA64" s="1" t="s">
        <v>3</v>
      </c>
      <c r="AB64" s="1" t="s">
        <v>16</v>
      </c>
      <c r="AC64" s="1" t="s">
        <v>17</v>
      </c>
      <c r="AD64" s="1" t="s">
        <v>31</v>
      </c>
    </row>
    <row r="65" spans="1:30" x14ac:dyDescent="0.25">
      <c r="A65" s="35"/>
      <c r="C65" s="1">
        <v>1</v>
      </c>
      <c r="D65" s="1" t="str">
        <f ca="1">IFERROR(AVERAGEIF(WT_Dark_WABs[Retina],C65,OFFSET(WT_Dark_WABs[BurstDuration],0,C$63)),"")</f>
        <v/>
      </c>
      <c r="E65" s="1" t="str">
        <f ca="1">IFERROR(AVERAGEIF(WT_Light_WABs[Retina],C65,OFFSET(WT_Light_WABs[BurstDuration],0,C$63)),"")</f>
        <v/>
      </c>
      <c r="F65" s="1" t="str">
        <f ca="1">IFERROR(AVERAGEIF(WT_Recovery_WABs[Retina],C65,OFFSET(WT_Recovery_WABs[BurstDuration],0,C$63)),"")</f>
        <v/>
      </c>
      <c r="I65" s="1">
        <v>1</v>
      </c>
      <c r="J65" s="1" t="str">
        <f ca="1">IFERROR(AVERAGEIF(WT_Dark_WABs[Retina],I65,OFFSET(WT_Dark_WABs[BurstDuration],0,I$63)),"")</f>
        <v/>
      </c>
      <c r="K65" s="1" t="str">
        <f ca="1">IFERROR(AVERAGEIF(WT_Light_WABs[Retina],I65,OFFSET(WT_Light_WABs[BurstDuration],0,I$63)),"")</f>
        <v/>
      </c>
      <c r="L65" s="1" t="str">
        <f ca="1">IFERROR(AVERAGEIF(WT_Recovery_WABs[Retina],I65,OFFSET(WT_Recovery_WABs[BurstDuration],0,I$63)),"")</f>
        <v/>
      </c>
      <c r="O65" s="1">
        <v>1</v>
      </c>
      <c r="P65" s="1" t="str">
        <f ca="1">IFERROR(AVERAGEIF(WT_Dark_WABs[Retina],O65,OFFSET(WT_Dark_WABs[BurstDuration],0,O$63)),"")</f>
        <v/>
      </c>
      <c r="Q65" s="1" t="str">
        <f ca="1">IFERROR(AVERAGEIF(WT_Light_WABs[Retina],O65,OFFSET(WT_Light_WABs[BurstDuration],0,O$63)),"")</f>
        <v/>
      </c>
      <c r="R65" s="1" t="str">
        <f ca="1">IFERROR(AVERAGEIF(WT_Recovery_WABs[Retina],O65,OFFSET(WT_Recovery_WABs[BurstDuration],0,O$63)),"")</f>
        <v/>
      </c>
      <c r="U65" s="1">
        <v>1</v>
      </c>
      <c r="V65" s="1" t="str">
        <f ca="1">IFERROR(AVERAGEIF(WT_Dark_WABs[Retina],U65,OFFSET(WT_Dark_WABs[BurstDuration],0,U$63)),"")</f>
        <v/>
      </c>
      <c r="W65" s="1" t="str">
        <f ca="1">IFERROR(AVERAGEIF(WT_Light_WABs[Retina],U65,OFFSET(WT_Light_WABs[BurstDuration],0,U$63)),"")</f>
        <v/>
      </c>
      <c r="X65" s="1" t="str">
        <f ca="1">IFERROR(AVERAGEIF(WT_Recovery_WABs[Retina],U65,OFFSET(WT_Recovery_WABs[BurstDuration],0,U$63)),"")</f>
        <v/>
      </c>
      <c r="AA65" s="1">
        <v>1</v>
      </c>
      <c r="AB65" s="1" t="str">
        <f ca="1">IFERROR(AVERAGEIF(WT_Dark_WABs[Retina],AA65,OFFSET(WT_Dark_WABs[BurstDuration],0,AA$63)),"")</f>
        <v/>
      </c>
      <c r="AC65" s="1" t="str">
        <f ca="1">IFERROR(AVERAGEIF(WT_Light_WABs[Retina],AA65,OFFSET(WT_Light_WABs[BurstDuration],0,AA$63)),"")</f>
        <v/>
      </c>
      <c r="AD65" s="1" t="str">
        <f ca="1">IFERROR(AVERAGEIF(WT_Recovery_WABs[Retina],AA65,OFFSET(WT_Recovery_WABs[BurstDuration],0,AA$63)),"")</f>
        <v/>
      </c>
    </row>
    <row r="66" spans="1:30" x14ac:dyDescent="0.25">
      <c r="A66" s="35"/>
      <c r="C66" s="1">
        <v>2</v>
      </c>
      <c r="D66" s="1" t="str">
        <f ca="1">IFERROR(AVERAGEIF(WT_Dark_WABs[Retina],C66,OFFSET(WT_Dark_WABs[BurstDuration],0,C$63)),"")</f>
        <v/>
      </c>
      <c r="E66" s="1" t="str">
        <f ca="1">IFERROR(AVERAGEIF(WT_Light_WABs[Retina],C66,OFFSET(WT_Light_WABs[BurstDuration],0,C$63)),"")</f>
        <v/>
      </c>
      <c r="F66" s="1" t="str">
        <f ca="1">IFERROR(AVERAGEIF(WT_Recovery_WABs[Retina],C66,OFFSET(WT_Recovery_WABs[BurstDuration],0,C$63)),"")</f>
        <v/>
      </c>
      <c r="I66" s="1">
        <v>2</v>
      </c>
      <c r="J66" s="1" t="str">
        <f ca="1">IFERROR(AVERAGEIF(WT_Dark_WABs[Retina],I66,OFFSET(WT_Dark_WABs[BurstDuration],0,I$63)),"")</f>
        <v/>
      </c>
      <c r="K66" s="1" t="str">
        <f ca="1">IFERROR(AVERAGEIF(WT_Light_WABs[Retina],I66,OFFSET(WT_Light_WABs[BurstDuration],0,I$63)),"")</f>
        <v/>
      </c>
      <c r="L66" s="1" t="str">
        <f ca="1">IFERROR(AVERAGEIF(WT_Recovery_WABs[Retina],I66,OFFSET(WT_Recovery_WABs[BurstDuration],0,I$63)),"")</f>
        <v/>
      </c>
      <c r="O66" s="1">
        <v>2</v>
      </c>
      <c r="P66" s="1" t="str">
        <f ca="1">IFERROR(AVERAGEIF(WT_Dark_WABs[Retina],O66,OFFSET(WT_Dark_WABs[BurstDuration],0,O$63)),"")</f>
        <v/>
      </c>
      <c r="Q66" s="1" t="str">
        <f ca="1">IFERROR(AVERAGEIF(WT_Light_WABs[Retina],O66,OFFSET(WT_Light_WABs[BurstDuration],0,O$63)),"")</f>
        <v/>
      </c>
      <c r="R66" s="1" t="str">
        <f ca="1">IFERROR(AVERAGEIF(WT_Recovery_WABs[Retina],O66,OFFSET(WT_Recovery_WABs[BurstDuration],0,O$63)),"")</f>
        <v/>
      </c>
      <c r="U66" s="1">
        <v>2</v>
      </c>
      <c r="V66" s="1" t="str">
        <f ca="1">IFERROR(AVERAGEIF(WT_Dark_WABs[Retina],U66,OFFSET(WT_Dark_WABs[BurstDuration],0,U$63)),"")</f>
        <v/>
      </c>
      <c r="W66" s="1" t="str">
        <f ca="1">IFERROR(AVERAGEIF(WT_Light_WABs[Retina],U66,OFFSET(WT_Light_WABs[BurstDuration],0,U$63)),"")</f>
        <v/>
      </c>
      <c r="X66" s="1" t="str">
        <f ca="1">IFERROR(AVERAGEIF(WT_Recovery_WABs[Retina],U66,OFFSET(WT_Recovery_WABs[BurstDuration],0,U$63)),"")</f>
        <v/>
      </c>
      <c r="AA66" s="1">
        <v>2</v>
      </c>
      <c r="AB66" s="1" t="str">
        <f ca="1">IFERROR(AVERAGEIF(WT_Dark_WABs[Retina],AA66,OFFSET(WT_Dark_WABs[BurstDuration],0,AA$63)),"")</f>
        <v/>
      </c>
      <c r="AC66" s="1" t="str">
        <f ca="1">IFERROR(AVERAGEIF(WT_Light_WABs[Retina],AA66,OFFSET(WT_Light_WABs[BurstDuration],0,AA$63)),"")</f>
        <v/>
      </c>
      <c r="AD66" s="1" t="str">
        <f ca="1">IFERROR(AVERAGEIF(WT_Recovery_WABs[Retina],AA66,OFFSET(WT_Recovery_WABs[BurstDuration],0,AA$63)),"")</f>
        <v/>
      </c>
    </row>
    <row r="67" spans="1:30" x14ac:dyDescent="0.25">
      <c r="A67" s="35"/>
      <c r="C67" s="1">
        <v>3</v>
      </c>
      <c r="D67" s="1" t="str">
        <f ca="1">IFERROR(AVERAGEIF(WT_Dark_WABs[Retina],C67,OFFSET(WT_Dark_WABs[BurstDuration],0,C$63)),"")</f>
        <v/>
      </c>
      <c r="E67" s="1" t="str">
        <f ca="1">IFERROR(AVERAGEIF(WT_Light_WABs[Retina],C67,OFFSET(WT_Light_WABs[BurstDuration],0,C$63)),"")</f>
        <v/>
      </c>
      <c r="F67" s="1" t="str">
        <f ca="1">IFERROR(AVERAGEIF(WT_Recovery_WABs[Retina],C67,OFFSET(WT_Recovery_WABs[BurstDuration],0,C$63)),"")</f>
        <v/>
      </c>
      <c r="I67" s="1">
        <v>3</v>
      </c>
      <c r="J67" s="1" t="str">
        <f ca="1">IFERROR(AVERAGEIF(WT_Dark_WABs[Retina],I67,OFFSET(WT_Dark_WABs[BurstDuration],0,I$63)),"")</f>
        <v/>
      </c>
      <c r="K67" s="1" t="str">
        <f ca="1">IFERROR(AVERAGEIF(WT_Light_WABs[Retina],I67,OFFSET(WT_Light_WABs[BurstDuration],0,I$63)),"")</f>
        <v/>
      </c>
      <c r="L67" s="1" t="str">
        <f ca="1">IFERROR(AVERAGEIF(WT_Recovery_WABs[Retina],I67,OFFSET(WT_Recovery_WABs[BurstDuration],0,I$63)),"")</f>
        <v/>
      </c>
      <c r="O67" s="1">
        <v>3</v>
      </c>
      <c r="P67" s="1" t="str">
        <f ca="1">IFERROR(AVERAGEIF(WT_Dark_WABs[Retina],O67,OFFSET(WT_Dark_WABs[BurstDuration],0,O$63)),"")</f>
        <v/>
      </c>
      <c r="Q67" s="1" t="str">
        <f ca="1">IFERROR(AVERAGEIF(WT_Light_WABs[Retina],O67,OFFSET(WT_Light_WABs[BurstDuration],0,O$63)),"")</f>
        <v/>
      </c>
      <c r="R67" s="1" t="str">
        <f ca="1">IFERROR(AVERAGEIF(WT_Recovery_WABs[Retina],O67,OFFSET(WT_Recovery_WABs[BurstDuration],0,O$63)),"")</f>
        <v/>
      </c>
      <c r="S67"/>
      <c r="U67" s="1">
        <v>3</v>
      </c>
      <c r="V67" s="1" t="str">
        <f ca="1">IFERROR(AVERAGEIF(WT_Dark_WABs[Retina],U67,OFFSET(WT_Dark_WABs[BurstDuration],0,U$63)),"")</f>
        <v/>
      </c>
      <c r="W67" s="1" t="str">
        <f ca="1">IFERROR(AVERAGEIF(WT_Light_WABs[Retina],U67,OFFSET(WT_Light_WABs[BurstDuration],0,U$63)),"")</f>
        <v/>
      </c>
      <c r="X67" s="1" t="str">
        <f ca="1">IFERROR(AVERAGEIF(WT_Recovery_WABs[Retina],U67,OFFSET(WT_Recovery_WABs[BurstDuration],0,U$63)),"")</f>
        <v/>
      </c>
      <c r="AA67" s="1">
        <v>3</v>
      </c>
      <c r="AB67" s="1" t="str">
        <f ca="1">IFERROR(AVERAGEIF(WT_Dark_WABs[Retina],AA67,OFFSET(WT_Dark_WABs[BurstDuration],0,AA$63)),"")</f>
        <v/>
      </c>
      <c r="AC67" s="1" t="str">
        <f ca="1">IFERROR(AVERAGEIF(WT_Light_WABs[Retina],AA67,OFFSET(WT_Light_WABs[BurstDuration],0,AA$63)),"")</f>
        <v/>
      </c>
      <c r="AD67" s="1" t="str">
        <f ca="1">IFERROR(AVERAGEIF(WT_Recovery_WABs[Retina],AA67,OFFSET(WT_Recovery_WABs[BurstDuration],0,AA$63)),"")</f>
        <v/>
      </c>
    </row>
    <row r="68" spans="1:30" x14ac:dyDescent="0.25">
      <c r="A68" s="35"/>
      <c r="C68" s="1">
        <v>4</v>
      </c>
      <c r="D68" s="1" t="str">
        <f ca="1">IFERROR(AVERAGEIF(WT_Dark_WABs[Retina],C68,OFFSET(WT_Dark_WABs[BurstDuration],0,C$63)),"")</f>
        <v/>
      </c>
      <c r="E68" s="1" t="str">
        <f ca="1">IFERROR(AVERAGEIF(WT_Light_WABs[Retina],C68,OFFSET(WT_Light_WABs[BurstDuration],0,C$63)),"")</f>
        <v/>
      </c>
      <c r="F68" s="1" t="str">
        <f ca="1">IFERROR(AVERAGEIF(WT_Recovery_WABs[Retina],C68,OFFSET(WT_Recovery_WABs[BurstDuration],0,C$63)),"")</f>
        <v/>
      </c>
      <c r="I68" s="1">
        <v>4</v>
      </c>
      <c r="J68" s="1" t="str">
        <f ca="1">IFERROR(AVERAGEIF(WT_Dark_WABs[Retina],I68,OFFSET(WT_Dark_WABs[BurstDuration],0,I$63)),"")</f>
        <v/>
      </c>
      <c r="K68" s="1" t="str">
        <f ca="1">IFERROR(AVERAGEIF(WT_Light_WABs[Retina],I68,OFFSET(WT_Light_WABs[BurstDuration],0,I$63)),"")</f>
        <v/>
      </c>
      <c r="L68" s="1" t="str">
        <f ca="1">IFERROR(AVERAGEIF(WT_Recovery_WABs[Retina],I68,OFFSET(WT_Recovery_WABs[BurstDuration],0,I$63)),"")</f>
        <v/>
      </c>
      <c r="O68" s="1">
        <v>4</v>
      </c>
      <c r="P68" s="1" t="str">
        <f ca="1">IFERROR(AVERAGEIF(WT_Dark_WABs[Retina],O68,OFFSET(WT_Dark_WABs[BurstDuration],0,O$63)),"")</f>
        <v/>
      </c>
      <c r="Q68" s="1" t="str">
        <f ca="1">IFERROR(AVERAGEIF(WT_Light_WABs[Retina],O68,OFFSET(WT_Light_WABs[BurstDuration],0,O$63)),"")</f>
        <v/>
      </c>
      <c r="R68" s="1" t="str">
        <f ca="1">IFERROR(AVERAGEIF(WT_Recovery_WABs[Retina],O68,OFFSET(WT_Recovery_WABs[BurstDuration],0,O$63)),"")</f>
        <v/>
      </c>
      <c r="U68" s="1">
        <v>4</v>
      </c>
      <c r="V68" s="1" t="str">
        <f ca="1">IFERROR(AVERAGEIF(WT_Dark_WABs[Retina],U68,OFFSET(WT_Dark_WABs[BurstDuration],0,U$63)),"")</f>
        <v/>
      </c>
      <c r="W68" s="1" t="str">
        <f ca="1">IFERROR(AVERAGEIF(WT_Light_WABs[Retina],U68,OFFSET(WT_Light_WABs[BurstDuration],0,U$63)),"")</f>
        <v/>
      </c>
      <c r="X68" s="1" t="str">
        <f ca="1">IFERROR(AVERAGEIF(WT_Recovery_WABs[Retina],U68,OFFSET(WT_Recovery_WABs[BurstDuration],0,U$63)),"")</f>
        <v/>
      </c>
      <c r="AA68" s="1">
        <v>4</v>
      </c>
      <c r="AB68" s="1" t="str">
        <f ca="1">IFERROR(AVERAGEIF(WT_Dark_WABs[Retina],AA68,OFFSET(WT_Dark_WABs[BurstDuration],0,AA$63)),"")</f>
        <v/>
      </c>
      <c r="AC68" s="1" t="str">
        <f ca="1">IFERROR(AVERAGEIF(WT_Light_WABs[Retina],AA68,OFFSET(WT_Light_WABs[BurstDuration],0,AA$63)),"")</f>
        <v/>
      </c>
      <c r="AD68" s="1" t="str">
        <f ca="1">IFERROR(AVERAGEIF(WT_Recovery_WABs[Retina],AA68,OFFSET(WT_Recovery_WABs[BurstDuration],0,AA$63)),"")</f>
        <v/>
      </c>
    </row>
    <row r="69" spans="1:30" x14ac:dyDescent="0.25">
      <c r="A69" s="35"/>
      <c r="C69" s="1">
        <v>5</v>
      </c>
      <c r="D69" s="1" t="str">
        <f ca="1">IFERROR(AVERAGEIF(WT_Dark_WABs[Retina],C69,OFFSET(WT_Dark_WABs[BurstDuration],0,C$63)),"")</f>
        <v/>
      </c>
      <c r="E69" s="1" t="str">
        <f ca="1">IFERROR(AVERAGEIF(WT_Light_WABs[Retina],C69,OFFSET(WT_Light_WABs[BurstDuration],0,C$63)),"")</f>
        <v/>
      </c>
      <c r="F69" s="1" t="str">
        <f ca="1">IFERROR(AVERAGEIF(WT_Recovery_WABs[Retina],C69,OFFSET(WT_Recovery_WABs[BurstDuration],0,C$63)),"")</f>
        <v/>
      </c>
      <c r="I69" s="1">
        <v>5</v>
      </c>
      <c r="J69" s="1" t="str">
        <f ca="1">IFERROR(AVERAGEIF(WT_Dark_WABs[Retina],I69,OFFSET(WT_Dark_WABs[BurstDuration],0,I$63)),"")</f>
        <v/>
      </c>
      <c r="K69" s="1" t="str">
        <f ca="1">IFERROR(AVERAGEIF(WT_Light_WABs[Retina],I69,OFFSET(WT_Light_WABs[BurstDuration],0,I$63)),"")</f>
        <v/>
      </c>
      <c r="L69" s="1" t="str">
        <f ca="1">IFERROR(AVERAGEIF(WT_Recovery_WABs[Retina],I69,OFFSET(WT_Recovery_WABs[BurstDuration],0,I$63)),"")</f>
        <v/>
      </c>
      <c r="O69" s="1">
        <v>5</v>
      </c>
      <c r="P69" s="1" t="str">
        <f ca="1">IFERROR(AVERAGEIF(WT_Dark_WABs[Retina],O69,OFFSET(WT_Dark_WABs[BurstDuration],0,O$63)),"")</f>
        <v/>
      </c>
      <c r="Q69" s="1" t="str">
        <f ca="1">IFERROR(AVERAGEIF(WT_Light_WABs[Retina],O69,OFFSET(WT_Light_WABs[BurstDuration],0,O$63)),"")</f>
        <v/>
      </c>
      <c r="R69" s="1" t="str">
        <f ca="1">IFERROR(AVERAGEIF(WT_Recovery_WABs[Retina],O69,OFFSET(WT_Recovery_WABs[BurstDuration],0,O$63)),"")</f>
        <v/>
      </c>
      <c r="U69" s="1">
        <v>5</v>
      </c>
      <c r="V69" s="1" t="str">
        <f ca="1">IFERROR(AVERAGEIF(WT_Dark_WABs[Retina],U69,OFFSET(WT_Dark_WABs[BurstDuration],0,U$63)),"")</f>
        <v/>
      </c>
      <c r="W69" s="1" t="str">
        <f ca="1">IFERROR(AVERAGEIF(WT_Light_WABs[Retina],U69,OFFSET(WT_Light_WABs[BurstDuration],0,U$63)),"")</f>
        <v/>
      </c>
      <c r="X69" s="1" t="str">
        <f ca="1">IFERROR(AVERAGEIF(WT_Recovery_WABs[Retina],U69,OFFSET(WT_Recovery_WABs[BurstDuration],0,U$63)),"")</f>
        <v/>
      </c>
      <c r="AA69" s="1">
        <v>5</v>
      </c>
      <c r="AB69" s="1" t="str">
        <f ca="1">IFERROR(AVERAGEIF(WT_Dark_WABs[Retina],AA69,OFFSET(WT_Dark_WABs[BurstDuration],0,AA$63)),"")</f>
        <v/>
      </c>
      <c r="AC69" s="1" t="str">
        <f ca="1">IFERROR(AVERAGEIF(WT_Light_WABs[Retina],AA69,OFFSET(WT_Light_WABs[BurstDuration],0,AA$63)),"")</f>
        <v/>
      </c>
      <c r="AD69" s="1" t="str">
        <f ca="1">IFERROR(AVERAGEIF(WT_Recovery_WABs[Retina],AA69,OFFSET(WT_Recovery_WABs[BurstDuration],0,AA$63)),"")</f>
        <v/>
      </c>
    </row>
    <row r="70" spans="1:30" x14ac:dyDescent="0.25">
      <c r="A70" s="35"/>
      <c r="C70" s="1">
        <v>6</v>
      </c>
      <c r="D70" s="1" t="str">
        <f ca="1">IFERROR(AVERAGEIF(WT_Dark_WABs[Retina],C70,OFFSET(WT_Dark_WABs[BurstDuration],0,C$63)),"")</f>
        <v/>
      </c>
      <c r="E70" s="1" t="str">
        <f ca="1">IFERROR(AVERAGEIF(WT_Light_WABs[Retina],C70,OFFSET(WT_Light_WABs[BurstDuration],0,C$63)),"")</f>
        <v/>
      </c>
      <c r="F70" s="1" t="str">
        <f ca="1">IFERROR(AVERAGEIF(WT_Recovery_WABs[Retina],C70,OFFSET(WT_Recovery_WABs[BurstDuration],0,C$63)),"")</f>
        <v/>
      </c>
      <c r="I70" s="1">
        <v>6</v>
      </c>
      <c r="J70" s="1" t="str">
        <f ca="1">IFERROR(AVERAGEIF(WT_Dark_WABs[Retina],I70,OFFSET(WT_Dark_WABs[BurstDuration],0,I$63)),"")</f>
        <v/>
      </c>
      <c r="K70" s="1" t="str">
        <f ca="1">IFERROR(AVERAGEIF(WT_Light_WABs[Retina],I70,OFFSET(WT_Light_WABs[BurstDuration],0,I$63)),"")</f>
        <v/>
      </c>
      <c r="L70" s="1" t="str">
        <f ca="1">IFERROR(AVERAGEIF(WT_Recovery_WABs[Retina],I70,OFFSET(WT_Recovery_WABs[BurstDuration],0,I$63)),"")</f>
        <v/>
      </c>
      <c r="O70" s="1">
        <v>6</v>
      </c>
      <c r="P70" s="1" t="str">
        <f ca="1">IFERROR(AVERAGEIF(WT_Dark_WABs[Retina],O70,OFFSET(WT_Dark_WABs[BurstDuration],0,O$63)),"")</f>
        <v/>
      </c>
      <c r="Q70" s="1" t="str">
        <f ca="1">IFERROR(AVERAGEIF(WT_Light_WABs[Retina],O70,OFFSET(WT_Light_WABs[BurstDuration],0,O$63)),"")</f>
        <v/>
      </c>
      <c r="R70" s="1" t="str">
        <f ca="1">IFERROR(AVERAGEIF(WT_Recovery_WABs[Retina],O70,OFFSET(WT_Recovery_WABs[BurstDuration],0,O$63)),"")</f>
        <v/>
      </c>
      <c r="U70" s="1">
        <v>6</v>
      </c>
      <c r="V70" s="1" t="str">
        <f ca="1">IFERROR(AVERAGEIF(WT_Dark_WABs[Retina],U70,OFFSET(WT_Dark_WABs[BurstDuration],0,U$63)),"")</f>
        <v/>
      </c>
      <c r="W70" s="1" t="str">
        <f ca="1">IFERROR(AVERAGEIF(WT_Light_WABs[Retina],U70,OFFSET(WT_Light_WABs[BurstDuration],0,U$63)),"")</f>
        <v/>
      </c>
      <c r="X70" s="1" t="str">
        <f ca="1">IFERROR(AVERAGEIF(WT_Recovery_WABs[Retina],U70,OFFSET(WT_Recovery_WABs[BurstDuration],0,U$63)),"")</f>
        <v/>
      </c>
      <c r="AA70" s="1">
        <v>6</v>
      </c>
      <c r="AB70" s="1" t="str">
        <f ca="1">IFERROR(AVERAGEIF(WT_Dark_WABs[Retina],AA70,OFFSET(WT_Dark_WABs[BurstDuration],0,AA$63)),"")</f>
        <v/>
      </c>
      <c r="AC70" s="1" t="str">
        <f ca="1">IFERROR(AVERAGEIF(WT_Light_WABs[Retina],AA70,OFFSET(WT_Light_WABs[BurstDuration],0,AA$63)),"")</f>
        <v/>
      </c>
      <c r="AD70" s="1" t="str">
        <f ca="1">IFERROR(AVERAGEIF(WT_Recovery_WABs[Retina],AA70,OFFSET(WT_Recovery_WABs[BurstDuration],0,AA$63)),"")</f>
        <v/>
      </c>
    </row>
    <row r="71" spans="1:30" x14ac:dyDescent="0.25">
      <c r="C71" s="1">
        <v>7</v>
      </c>
      <c r="D71" s="1" t="str">
        <f ca="1">IFERROR(AVERAGEIF(WT_Dark_WABs[Retina],C71,OFFSET(WT_Dark_WABs[BurstDuration],0,C$63)),"")</f>
        <v/>
      </c>
      <c r="E71" s="1" t="str">
        <f ca="1">IFERROR(AVERAGEIF(WT_Light_WABs[Retina],C71,OFFSET(WT_Light_WABs[BurstDuration],0,C$63)),"")</f>
        <v/>
      </c>
      <c r="F71" s="1" t="str">
        <f ca="1">IFERROR(AVERAGEIF(WT_Recovery_WABs[Retina],C71,OFFSET(WT_Recovery_WABs[BurstDuration],0,C$63)),"")</f>
        <v/>
      </c>
      <c r="I71" s="1">
        <v>7</v>
      </c>
      <c r="J71" s="1" t="str">
        <f ca="1">IFERROR(AVERAGEIF(WT_Dark_WABs[Retina],I71,OFFSET(WT_Dark_WABs[BurstDuration],0,I$63)),"")</f>
        <v/>
      </c>
      <c r="K71" s="1" t="str">
        <f ca="1">IFERROR(AVERAGEIF(WT_Light_WABs[Retina],I71,OFFSET(WT_Light_WABs[BurstDuration],0,I$63)),"")</f>
        <v/>
      </c>
      <c r="L71" s="1" t="str">
        <f ca="1">IFERROR(AVERAGEIF(WT_Recovery_WABs[Retina],I71,OFFSET(WT_Recovery_WABs[BurstDuration],0,I$63)),"")</f>
        <v/>
      </c>
      <c r="O71" s="1">
        <v>7</v>
      </c>
      <c r="P71" s="1" t="str">
        <f ca="1">IFERROR(AVERAGEIF(WT_Dark_WABs[Retina],O71,OFFSET(WT_Dark_WABs[BurstDuration],0,O$63)),"")</f>
        <v/>
      </c>
      <c r="Q71" s="1" t="str">
        <f ca="1">IFERROR(AVERAGEIF(WT_Light_WABs[Retina],O71,OFFSET(WT_Light_WABs[BurstDuration],0,O$63)),"")</f>
        <v/>
      </c>
      <c r="R71" s="1" t="str">
        <f ca="1">IFERROR(AVERAGEIF(WT_Recovery_WABs[Retina],O71,OFFSET(WT_Recovery_WABs[BurstDuration],0,O$63)),"")</f>
        <v/>
      </c>
      <c r="U71" s="1">
        <v>7</v>
      </c>
      <c r="V71" s="1" t="str">
        <f ca="1">IFERROR(AVERAGEIF(WT_Dark_WABs[Retina],U71,OFFSET(WT_Dark_WABs[BurstDuration],0,U$63)),"")</f>
        <v/>
      </c>
      <c r="W71" s="1" t="str">
        <f ca="1">IFERROR(AVERAGEIF(WT_Light_WABs[Retina],U71,OFFSET(WT_Light_WABs[BurstDuration],0,U$63)),"")</f>
        <v/>
      </c>
      <c r="X71" s="1" t="str">
        <f ca="1">IFERROR(AVERAGEIF(WT_Recovery_WABs[Retina],U71,OFFSET(WT_Recovery_WABs[BurstDuration],0,U$63)),"")</f>
        <v/>
      </c>
      <c r="AA71" s="1">
        <v>7</v>
      </c>
      <c r="AB71" s="1" t="str">
        <f ca="1">IFERROR(AVERAGEIF(WT_Dark_WABs[Retina],AA71,OFFSET(WT_Dark_WABs[BurstDuration],0,AA$63)),"")</f>
        <v/>
      </c>
      <c r="AC71" s="1" t="str">
        <f ca="1">IFERROR(AVERAGEIF(WT_Light_WABs[Retina],AA71,OFFSET(WT_Light_WABs[BurstDuration],0,AA$63)),"")</f>
        <v/>
      </c>
      <c r="AD71" s="1" t="str">
        <f ca="1">IFERROR(AVERAGEIF(WT_Recovery_WABs[Retina],AA71,OFFSET(WT_Recovery_WABs[BurstDuration],0,AA$63)),"")</f>
        <v/>
      </c>
    </row>
    <row r="73" spans="1:30" s="25" customFormat="1" x14ac:dyDescent="0.25">
      <c r="C73" s="26"/>
      <c r="D73" s="26"/>
      <c r="E73" s="26"/>
      <c r="F73" s="26"/>
      <c r="G73" s="26"/>
      <c r="H73" s="26"/>
      <c r="I73" s="26"/>
      <c r="Q73" s="26"/>
      <c r="R73" s="26"/>
      <c r="S73" s="26"/>
    </row>
    <row r="76" spans="1:30" ht="15" customHeight="1" x14ac:dyDescent="0.25">
      <c r="A76" s="36" t="s">
        <v>26</v>
      </c>
      <c r="Q76"/>
      <c r="R76"/>
      <c r="S76"/>
    </row>
    <row r="77" spans="1:30" x14ac:dyDescent="0.25">
      <c r="A77" s="36"/>
    </row>
    <row r="78" spans="1:30" x14ac:dyDescent="0.25">
      <c r="A78" s="36"/>
    </row>
    <row r="79" spans="1:30" x14ac:dyDescent="0.25">
      <c r="A79" s="36"/>
    </row>
    <row r="80" spans="1:30" x14ac:dyDescent="0.25">
      <c r="A80" s="36"/>
    </row>
    <row r="81" spans="1:30" x14ac:dyDescent="0.25">
      <c r="A81" s="36"/>
    </row>
    <row r="82" spans="1:30" x14ac:dyDescent="0.25">
      <c r="A82" s="36"/>
    </row>
    <row r="83" spans="1:30" x14ac:dyDescent="0.25">
      <c r="A83" s="36"/>
    </row>
    <row r="84" spans="1:30" x14ac:dyDescent="0.25">
      <c r="A84" s="36"/>
    </row>
    <row r="85" spans="1:30" x14ac:dyDescent="0.25">
      <c r="A85" s="36"/>
    </row>
    <row r="86" spans="1:30" x14ac:dyDescent="0.25">
      <c r="A86" s="36"/>
    </row>
    <row r="87" spans="1:30" x14ac:dyDescent="0.25">
      <c r="A87" s="36"/>
    </row>
    <row r="88" spans="1:30" x14ac:dyDescent="0.25">
      <c r="A88" s="36"/>
    </row>
    <row r="89" spans="1:30" x14ac:dyDescent="0.25">
      <c r="A89" s="36"/>
    </row>
    <row r="90" spans="1:30" x14ac:dyDescent="0.25">
      <c r="A90" s="36"/>
    </row>
    <row r="91" spans="1:30" x14ac:dyDescent="0.25">
      <c r="A91" s="36"/>
    </row>
    <row r="92" spans="1:30" x14ac:dyDescent="0.25">
      <c r="A92" s="36"/>
      <c r="Q92"/>
      <c r="R92"/>
      <c r="S92"/>
    </row>
    <row r="93" spans="1:30" x14ac:dyDescent="0.25">
      <c r="A93" s="36"/>
    </row>
    <row r="94" spans="1:30" x14ac:dyDescent="0.25">
      <c r="A94" s="36"/>
    </row>
    <row r="95" spans="1:30" ht="15.75" thickBot="1" x14ac:dyDescent="0.3">
      <c r="A95" s="36"/>
      <c r="C95" s="33" t="s">
        <v>13</v>
      </c>
      <c r="D95" s="33"/>
      <c r="E95" s="33"/>
      <c r="F95" s="33"/>
      <c r="I95" s="33" t="s">
        <v>28</v>
      </c>
      <c r="J95" s="33"/>
      <c r="K95" s="33"/>
      <c r="L95" s="33"/>
      <c r="O95" s="33" t="s">
        <v>29</v>
      </c>
      <c r="P95" s="33"/>
      <c r="Q95" s="33"/>
      <c r="R95" s="33"/>
      <c r="U95" s="33" t="s">
        <v>30</v>
      </c>
      <c r="V95" s="33"/>
      <c r="W95" s="33"/>
      <c r="X95" s="33"/>
      <c r="AA95" s="33" t="s">
        <v>14</v>
      </c>
      <c r="AB95" s="33"/>
      <c r="AC95" s="33"/>
      <c r="AD95" s="33"/>
    </row>
    <row r="96" spans="1:30" ht="15.75" thickBot="1" x14ac:dyDescent="0.3">
      <c r="A96" s="36"/>
      <c r="C96" s="5"/>
      <c r="D96" s="9" t="s">
        <v>8</v>
      </c>
      <c r="E96" s="9" t="s">
        <v>9</v>
      </c>
      <c r="F96" s="10" t="s">
        <v>10</v>
      </c>
      <c r="I96" s="5"/>
      <c r="J96" s="9" t="s">
        <v>8</v>
      </c>
      <c r="K96" s="9" t="s">
        <v>9</v>
      </c>
      <c r="L96" s="10" t="s">
        <v>10</v>
      </c>
      <c r="O96" s="5"/>
      <c r="P96" s="9" t="s">
        <v>8</v>
      </c>
      <c r="Q96" s="9" t="s">
        <v>9</v>
      </c>
      <c r="R96" s="10" t="s">
        <v>10</v>
      </c>
      <c r="U96" s="5"/>
      <c r="V96" s="9" t="s">
        <v>8</v>
      </c>
      <c r="W96" s="9" t="s">
        <v>9</v>
      </c>
      <c r="X96" s="10" t="s">
        <v>10</v>
      </c>
      <c r="AA96" s="5"/>
      <c r="AB96" s="9" t="s">
        <v>8</v>
      </c>
      <c r="AC96" s="9" t="s">
        <v>9</v>
      </c>
      <c r="AD96" s="10" t="s">
        <v>10</v>
      </c>
    </row>
    <row r="97" spans="1:30" x14ac:dyDescent="0.25">
      <c r="A97" s="36"/>
      <c r="C97" s="11" t="s">
        <v>4</v>
      </c>
      <c r="D97" s="7" t="e">
        <f ca="1">AVERAGE(D104:D110)</f>
        <v>#DIV/0!</v>
      </c>
      <c r="E97" s="7" t="e">
        <f ca="1">AVERAGE(E104:E110)</f>
        <v>#DIV/0!</v>
      </c>
      <c r="F97" s="8" t="e">
        <f ca="1">AVERAGE(F104:F110)</f>
        <v>#DIV/0!</v>
      </c>
      <c r="I97" s="11" t="s">
        <v>4</v>
      </c>
      <c r="J97" s="7" t="e">
        <f ca="1">AVERAGE(J104:J110)</f>
        <v>#DIV/0!</v>
      </c>
      <c r="K97" s="7" t="e">
        <f ca="1">AVERAGE(K104:K110)</f>
        <v>#DIV/0!</v>
      </c>
      <c r="L97" s="8" t="e">
        <f ca="1">AVERAGE(L104:L110)</f>
        <v>#DIV/0!</v>
      </c>
      <c r="O97" s="11" t="s">
        <v>4</v>
      </c>
      <c r="P97" s="7" t="e">
        <f ca="1">AVERAGE(P104:P110)</f>
        <v>#DIV/0!</v>
      </c>
      <c r="Q97" s="7" t="e">
        <f ca="1">AVERAGE(Q104:Q110)</f>
        <v>#DIV/0!</v>
      </c>
      <c r="R97" s="8" t="e">
        <f ca="1">AVERAGE(R104:R110)</f>
        <v>#DIV/0!</v>
      </c>
      <c r="U97" s="11" t="s">
        <v>4</v>
      </c>
      <c r="V97" s="7" t="e">
        <f ca="1">AVERAGE(V104:V110)</f>
        <v>#DIV/0!</v>
      </c>
      <c r="W97" s="7" t="e">
        <f ca="1">AVERAGE(W104:W110)</f>
        <v>#DIV/0!</v>
      </c>
      <c r="X97" s="8" t="e">
        <f ca="1">AVERAGE(X104:X110)</f>
        <v>#DIV/0!</v>
      </c>
      <c r="AA97" s="11" t="s">
        <v>4</v>
      </c>
      <c r="AB97" s="7" t="e">
        <f ca="1">AVERAGE(AB104:AB110)</f>
        <v>#DIV/0!</v>
      </c>
      <c r="AC97" s="7" t="e">
        <f ca="1">AVERAGE(AC104:AC110)</f>
        <v>#DIV/0!</v>
      </c>
      <c r="AD97" s="8" t="e">
        <f ca="1">AVERAGE(AD104:AD110)</f>
        <v>#DIV/0!</v>
      </c>
    </row>
    <row r="98" spans="1:30" ht="15.75" thickBot="1" x14ac:dyDescent="0.3">
      <c r="A98" s="36"/>
      <c r="C98" s="4" t="s">
        <v>2</v>
      </c>
      <c r="D98" s="3" t="e">
        <f ca="1">sem(D104:D110)</f>
        <v>#VALUE!</v>
      </c>
      <c r="E98" s="3" t="e">
        <f ca="1">sem(E104:E110)</f>
        <v>#VALUE!</v>
      </c>
      <c r="F98" s="2" t="e">
        <f ca="1">sem(F104:F110)</f>
        <v>#VALUE!</v>
      </c>
      <c r="I98" s="4" t="s">
        <v>2</v>
      </c>
      <c r="J98" s="3" t="e">
        <f ca="1">sem(J104:J110)</f>
        <v>#VALUE!</v>
      </c>
      <c r="K98" s="3" t="e">
        <f ca="1">sem(K104:K110)</f>
        <v>#VALUE!</v>
      </c>
      <c r="L98" s="2" t="e">
        <f ca="1">sem(L104:L110)</f>
        <v>#VALUE!</v>
      </c>
      <c r="O98" s="4" t="s">
        <v>2</v>
      </c>
      <c r="P98" s="3" t="e">
        <f ca="1">sem(P104:P110)</f>
        <v>#VALUE!</v>
      </c>
      <c r="Q98" s="3" t="e">
        <f ca="1">sem(Q104:Q110)</f>
        <v>#VALUE!</v>
      </c>
      <c r="R98" s="2" t="e">
        <f ca="1">sem(R104:R110)</f>
        <v>#VALUE!</v>
      </c>
      <c r="U98" s="4" t="s">
        <v>2</v>
      </c>
      <c r="V98" s="3" t="e">
        <f ca="1">sem(V104:V110)</f>
        <v>#VALUE!</v>
      </c>
      <c r="W98" s="3" t="e">
        <f ca="1">sem(W104:W110)</f>
        <v>#VALUE!</v>
      </c>
      <c r="X98" s="2" t="e">
        <f ca="1">sem(X104:X110)</f>
        <v>#VALUE!</v>
      </c>
      <c r="AA98" s="4" t="s">
        <v>2</v>
      </c>
      <c r="AB98" s="3" t="e">
        <f ca="1">sem(AB104:AB110)</f>
        <v>#VALUE!</v>
      </c>
      <c r="AC98" s="3" t="e">
        <f ca="1">sem(AC104:AC110)</f>
        <v>#VALUE!</v>
      </c>
      <c r="AD98" s="2" t="e">
        <f ca="1">sem(AD104:AD110)</f>
        <v>#VALUE!</v>
      </c>
    </row>
    <row r="99" spans="1:30" x14ac:dyDescent="0.25">
      <c r="A99" s="36"/>
      <c r="C99" s="6" t="s">
        <v>33</v>
      </c>
      <c r="D99" s="1" t="e">
        <f ca="1">(E97-D97)/D97*100</f>
        <v>#DIV/0!</v>
      </c>
      <c r="I99" s="6" t="s">
        <v>33</v>
      </c>
      <c r="J99" s="1" t="e">
        <f ca="1">(K97-J97)/J97*100</f>
        <v>#DIV/0!</v>
      </c>
      <c r="K99" s="1"/>
      <c r="L99" s="1"/>
      <c r="O99" s="6" t="s">
        <v>33</v>
      </c>
      <c r="P99" s="1" t="e">
        <f ca="1">(Q97-P97)/P97*100</f>
        <v>#DIV/0!</v>
      </c>
      <c r="U99" s="6" t="s">
        <v>33</v>
      </c>
      <c r="V99" s="1" t="e">
        <f ca="1">(W97-V97)/V97*100</f>
        <v>#DIV/0!</v>
      </c>
      <c r="W99" s="1"/>
      <c r="X99" s="1"/>
      <c r="AA99" s="6" t="s">
        <v>33</v>
      </c>
      <c r="AB99" s="1" t="e">
        <f ca="1">(AC97-AB97)/AB97*100</f>
        <v>#DIV/0!</v>
      </c>
      <c r="AC99" s="1"/>
      <c r="AD99" s="1"/>
    </row>
    <row r="100" spans="1:30" x14ac:dyDescent="0.25">
      <c r="A100" s="36"/>
      <c r="C100" s="6" t="s">
        <v>32</v>
      </c>
      <c r="D100" s="1" t="e">
        <f ca="1">E97/D97</f>
        <v>#DIV/0!</v>
      </c>
      <c r="I100" s="6" t="s">
        <v>32</v>
      </c>
      <c r="J100" s="1" t="e">
        <f ca="1">K97/J97</f>
        <v>#DIV/0!</v>
      </c>
      <c r="K100" s="1"/>
      <c r="L100" s="1"/>
      <c r="O100" s="6" t="s">
        <v>32</v>
      </c>
      <c r="P100" s="1" t="e">
        <f ca="1">Q97/P97</f>
        <v>#DIV/0!</v>
      </c>
      <c r="U100" s="6" t="s">
        <v>32</v>
      </c>
      <c r="V100" s="1" t="e">
        <f ca="1">W97/V97</f>
        <v>#DIV/0!</v>
      </c>
      <c r="W100" s="1"/>
      <c r="X100" s="1"/>
      <c r="AA100" s="6" t="s">
        <v>32</v>
      </c>
      <c r="AB100" s="1" t="e">
        <f ca="1">AC97/AB97</f>
        <v>#DIV/0!</v>
      </c>
      <c r="AC100" s="1"/>
      <c r="AD100" s="1"/>
    </row>
    <row r="101" spans="1:30" x14ac:dyDescent="0.25">
      <c r="A101" s="36"/>
      <c r="J101" s="1"/>
      <c r="K101" s="1"/>
      <c r="L101" s="1"/>
      <c r="O101" s="1"/>
      <c r="P101" s="1"/>
      <c r="U101" s="1"/>
      <c r="V101" s="1"/>
      <c r="W101" s="1"/>
      <c r="X101" s="1"/>
      <c r="AA101" s="1"/>
      <c r="AB101" s="1"/>
      <c r="AC101" s="1"/>
      <c r="AD101" s="1"/>
    </row>
    <row r="102" spans="1:30" x14ac:dyDescent="0.25">
      <c r="A102" s="36"/>
      <c r="C102" s="1">
        <v>0</v>
      </c>
      <c r="I102" s="1">
        <v>0</v>
      </c>
      <c r="J102" s="1"/>
      <c r="K102" s="1"/>
      <c r="L102" s="1"/>
      <c r="O102" s="1">
        <v>0</v>
      </c>
      <c r="P102" s="1"/>
      <c r="U102" s="1">
        <v>0</v>
      </c>
      <c r="V102" s="1"/>
      <c r="W102" s="1"/>
      <c r="X102" s="1"/>
      <c r="AA102" s="1">
        <v>0</v>
      </c>
      <c r="AB102" s="1"/>
      <c r="AC102" s="1"/>
      <c r="AD102" s="1"/>
    </row>
    <row r="103" spans="1:30" x14ac:dyDescent="0.25">
      <c r="A103" s="36"/>
      <c r="C103" s="1" t="s">
        <v>3</v>
      </c>
      <c r="D103" s="1" t="s">
        <v>16</v>
      </c>
      <c r="E103" s="1" t="s">
        <v>17</v>
      </c>
      <c r="F103" s="1" t="s">
        <v>31</v>
      </c>
      <c r="I103" s="1" t="s">
        <v>3</v>
      </c>
      <c r="J103" s="1" t="s">
        <v>16</v>
      </c>
      <c r="K103" s="1" t="s">
        <v>17</v>
      </c>
      <c r="L103" s="1" t="s">
        <v>31</v>
      </c>
      <c r="O103" s="1" t="s">
        <v>3</v>
      </c>
      <c r="P103" s="1" t="s">
        <v>16</v>
      </c>
      <c r="Q103" s="1" t="s">
        <v>17</v>
      </c>
      <c r="R103" s="1" t="s">
        <v>31</v>
      </c>
      <c r="U103" s="1" t="s">
        <v>3</v>
      </c>
      <c r="V103" s="1" t="s">
        <v>16</v>
      </c>
      <c r="W103" s="1" t="s">
        <v>17</v>
      </c>
      <c r="X103" s="1" t="s">
        <v>31</v>
      </c>
      <c r="AA103" s="1" t="s">
        <v>3</v>
      </c>
      <c r="AB103" s="1" t="s">
        <v>16</v>
      </c>
      <c r="AC103" s="1" t="s">
        <v>17</v>
      </c>
      <c r="AD103" s="1" t="s">
        <v>31</v>
      </c>
    </row>
    <row r="104" spans="1:30" x14ac:dyDescent="0.25">
      <c r="A104" s="36"/>
      <c r="C104" s="1">
        <v>1</v>
      </c>
      <c r="D104" s="1" t="str">
        <f ca="1">IFERROR(AVERAGEIF(WT_Dark_NonWABs[Retina],C104,OFFSET(WT_Dark_NonWABs[BurstDuration],0,C$102)),"")</f>
        <v/>
      </c>
      <c r="E104" s="1" t="str">
        <f ca="1">IFERROR(AVERAGEIF(WT_Light_NonWABs[Retina],C104,OFFSET(WT_Light_NonWABs[BurstDuration],0,C$102)),"")</f>
        <v/>
      </c>
      <c r="F104" s="1" t="str">
        <f ca="1">IFERROR(AVERAGEIF(WT_Recovery_NonWABs[Retina],C104,OFFSET(WT_Recovery_NonWABs[BurstDuration],0,C$102)),"")</f>
        <v/>
      </c>
      <c r="I104" s="1">
        <v>1</v>
      </c>
      <c r="J104" s="1" t="str">
        <f ca="1">IFERROR(AVERAGEIF(WT_Dark_NonWABs[Retina],I104,OFFSET(WT_Dark_NonWABs[BurstDuration],0,I$102)),"")</f>
        <v/>
      </c>
      <c r="K104" s="1" t="str">
        <f ca="1">IFERROR(AVERAGEIF(WT_Light_NonWABs[Retina],I104,OFFSET(WT_Light_NonWABs[BurstDuration],0,I$102)),"")</f>
        <v/>
      </c>
      <c r="L104" s="1" t="str">
        <f ca="1">IFERROR(AVERAGEIF(WT_Recovery_NonWABs[Retina],I104,OFFSET(WT_Recovery_NonWABs[BurstDuration],0,I$102)),"")</f>
        <v/>
      </c>
      <c r="O104" s="1">
        <v>1</v>
      </c>
      <c r="P104" s="1" t="str">
        <f ca="1">IFERROR(AVERAGEIF(WT_Dark_NonWABs[Retina],O104,OFFSET(WT_Dark_NonWABs[BurstDuration],0,O$102)),"")</f>
        <v/>
      </c>
      <c r="Q104" s="1" t="str">
        <f ca="1">IFERROR(AVERAGEIF(WT_Light_NonWABs[Retina],O104,OFFSET(WT_Light_NonWABs[BurstDuration],0,O$102)),"")</f>
        <v/>
      </c>
      <c r="R104" s="1" t="str">
        <f ca="1">IFERROR(AVERAGEIF(WT_Recovery_NonWABs[Retina],O104,OFFSET(WT_Recovery_NonWABs[BurstDuration],0,O$102)),"")</f>
        <v/>
      </c>
      <c r="U104" s="1">
        <v>1</v>
      </c>
      <c r="V104" s="1" t="str">
        <f ca="1">IFERROR(AVERAGEIF(WT_Dark_NonWABs[Retina],U104,OFFSET(WT_Dark_NonWABs[BurstDuration],0,U$102)),"")</f>
        <v/>
      </c>
      <c r="W104" s="1" t="str">
        <f ca="1">IFERROR(AVERAGEIF(WT_Light_NonWABs[Retina],U104,OFFSET(WT_Light_NonWABs[BurstDuration],0,U$102)),"")</f>
        <v/>
      </c>
      <c r="X104" s="1" t="str">
        <f ca="1">IFERROR(AVERAGEIF(WT_Recovery_NonWABs[Retina],U104,OFFSET(WT_Recovery_NonWABs[BurstDuration],0,U$102)),"")</f>
        <v/>
      </c>
      <c r="AA104" s="1">
        <v>1</v>
      </c>
      <c r="AB104" s="1" t="str">
        <f ca="1">IFERROR(AVERAGEIF(WT_Dark_NonWABs[Retina],AA104,OFFSET(WT_Dark_NonWABs[BurstDuration],0,AA$102)),"")</f>
        <v/>
      </c>
      <c r="AC104" s="1" t="str">
        <f ca="1">IFERROR(AVERAGEIF(WT_Light_NonWABs[Retina],AA104,OFFSET(WT_Light_NonWABs[BurstDuration],0,AA$102)),"")</f>
        <v/>
      </c>
      <c r="AD104" s="1" t="str">
        <f ca="1">IFERROR(AVERAGEIF(WT_Recovery_NonWABs[Retina],AA104,OFFSET(WT_Recovery_NonWABs[BurstDuration],0,AA$102)),"")</f>
        <v/>
      </c>
    </row>
    <row r="105" spans="1:30" x14ac:dyDescent="0.25">
      <c r="A105" s="36"/>
      <c r="C105" s="1">
        <v>2</v>
      </c>
      <c r="D105" s="1" t="str">
        <f ca="1">IFERROR(AVERAGEIF(WT_Dark_NonWABs[Retina],C105,OFFSET(WT_Dark_NonWABs[BurstDuration],0,C$102)),"")</f>
        <v/>
      </c>
      <c r="E105" s="1" t="str">
        <f ca="1">IFERROR(AVERAGEIF(WT_Light_NonWABs[Retina],C105,OFFSET(WT_Light_NonWABs[BurstDuration],0,C$102)),"")</f>
        <v/>
      </c>
      <c r="F105" s="1" t="str">
        <f ca="1">IFERROR(AVERAGEIF(WT_Recovery_NonWABs[Retina],C105,OFFSET(WT_Recovery_NonWABs[BurstDuration],0,C$102)),"")</f>
        <v/>
      </c>
      <c r="I105" s="1">
        <v>2</v>
      </c>
      <c r="J105" s="1" t="str">
        <f ca="1">IFERROR(AVERAGEIF(WT_Dark_NonWABs[Retina],I105,OFFSET(WT_Dark_NonWABs[BurstDuration],0,I$102)),"")</f>
        <v/>
      </c>
      <c r="K105" s="1" t="str">
        <f ca="1">IFERROR(AVERAGEIF(WT_Light_NonWABs[Retina],I105,OFFSET(WT_Light_NonWABs[BurstDuration],0,I$102)),"")</f>
        <v/>
      </c>
      <c r="L105" s="1" t="str">
        <f ca="1">IFERROR(AVERAGEIF(WT_Recovery_NonWABs[Retina],I105,OFFSET(WT_Recovery_NonWABs[BurstDuration],0,I$102)),"")</f>
        <v/>
      </c>
      <c r="O105" s="1">
        <v>2</v>
      </c>
      <c r="P105" s="1" t="str">
        <f ca="1">IFERROR(AVERAGEIF(WT_Dark_NonWABs[Retina],O105,OFFSET(WT_Dark_NonWABs[BurstDuration],0,O$102)),"")</f>
        <v/>
      </c>
      <c r="Q105" s="1" t="str">
        <f ca="1">IFERROR(AVERAGEIF(WT_Light_NonWABs[Retina],O105,OFFSET(WT_Light_NonWABs[BurstDuration],0,O$102)),"")</f>
        <v/>
      </c>
      <c r="R105" s="1" t="str">
        <f ca="1">IFERROR(AVERAGEIF(WT_Recovery_NonWABs[Retina],O105,OFFSET(WT_Recovery_NonWABs[BurstDuration],0,O$102)),"")</f>
        <v/>
      </c>
      <c r="U105" s="1">
        <v>2</v>
      </c>
      <c r="V105" s="1" t="str">
        <f ca="1">IFERROR(AVERAGEIF(WT_Dark_NonWABs[Retina],U105,OFFSET(WT_Dark_NonWABs[BurstDuration],0,U$102)),"")</f>
        <v/>
      </c>
      <c r="W105" s="1" t="str">
        <f ca="1">IFERROR(AVERAGEIF(WT_Light_NonWABs[Retina],U105,OFFSET(WT_Light_NonWABs[BurstDuration],0,U$102)),"")</f>
        <v/>
      </c>
      <c r="X105" s="1" t="str">
        <f ca="1">IFERROR(AVERAGEIF(WT_Recovery_NonWABs[Retina],U105,OFFSET(WT_Recovery_NonWABs[BurstDuration],0,U$102)),"")</f>
        <v/>
      </c>
      <c r="AA105" s="1">
        <v>2</v>
      </c>
      <c r="AB105" s="1" t="str">
        <f ca="1">IFERROR(AVERAGEIF(WT_Dark_NonWABs[Retina],AA105,OFFSET(WT_Dark_NonWABs[BurstDuration],0,AA$102)),"")</f>
        <v/>
      </c>
      <c r="AC105" s="1" t="str">
        <f ca="1">IFERROR(AVERAGEIF(WT_Light_NonWABs[Retina],AA105,OFFSET(WT_Light_NonWABs[BurstDuration],0,AA$102)),"")</f>
        <v/>
      </c>
      <c r="AD105" s="1" t="str">
        <f ca="1">IFERROR(AVERAGEIF(WT_Recovery_NonWABs[Retina],AA105,OFFSET(WT_Recovery_NonWABs[BurstDuration],0,AA$102)),"")</f>
        <v/>
      </c>
    </row>
    <row r="106" spans="1:30" x14ac:dyDescent="0.25">
      <c r="A106" s="36"/>
      <c r="C106" s="1">
        <v>3</v>
      </c>
      <c r="D106" s="1" t="str">
        <f ca="1">IFERROR(AVERAGEIF(WT_Dark_NonWABs[Retina],C106,OFFSET(WT_Dark_NonWABs[BurstDuration],0,C$102)),"")</f>
        <v/>
      </c>
      <c r="E106" s="1" t="str">
        <f ca="1">IFERROR(AVERAGEIF(WT_Light_NonWABs[Retina],C106,OFFSET(WT_Light_NonWABs[BurstDuration],0,C$102)),"")</f>
        <v/>
      </c>
      <c r="F106" s="1" t="str">
        <f ca="1">IFERROR(AVERAGEIF(WT_Recovery_NonWABs[Retina],C106,OFFSET(WT_Recovery_NonWABs[BurstDuration],0,C$102)),"")</f>
        <v/>
      </c>
      <c r="I106" s="1">
        <v>3</v>
      </c>
      <c r="J106" s="1" t="str">
        <f ca="1">IFERROR(AVERAGEIF(WT_Dark_NonWABs[Retina],I106,OFFSET(WT_Dark_NonWABs[BurstDuration],0,I$102)),"")</f>
        <v/>
      </c>
      <c r="K106" s="1" t="str">
        <f ca="1">IFERROR(AVERAGEIF(WT_Light_NonWABs[Retina],I106,OFFSET(WT_Light_NonWABs[BurstDuration],0,I$102)),"")</f>
        <v/>
      </c>
      <c r="L106" s="1" t="str">
        <f ca="1">IFERROR(AVERAGEIF(WT_Recovery_NonWABs[Retina],I106,OFFSET(WT_Recovery_NonWABs[BurstDuration],0,I$102)),"")</f>
        <v/>
      </c>
      <c r="O106" s="1">
        <v>3</v>
      </c>
      <c r="P106" s="1" t="str">
        <f ca="1">IFERROR(AVERAGEIF(WT_Dark_NonWABs[Retina],O106,OFFSET(WT_Dark_NonWABs[BurstDuration],0,O$102)),"")</f>
        <v/>
      </c>
      <c r="Q106" s="1" t="str">
        <f ca="1">IFERROR(AVERAGEIF(WT_Light_NonWABs[Retina],O106,OFFSET(WT_Light_NonWABs[BurstDuration],0,O$102)),"")</f>
        <v/>
      </c>
      <c r="R106" s="1" t="str">
        <f ca="1">IFERROR(AVERAGEIF(WT_Recovery_NonWABs[Retina],O106,OFFSET(WT_Recovery_NonWABs[BurstDuration],0,O$102)),"")</f>
        <v/>
      </c>
      <c r="S106"/>
      <c r="U106" s="1">
        <v>3</v>
      </c>
      <c r="V106" s="1" t="str">
        <f ca="1">IFERROR(AVERAGEIF(WT_Dark_NonWABs[Retina],U106,OFFSET(WT_Dark_NonWABs[BurstDuration],0,U$102)),"")</f>
        <v/>
      </c>
      <c r="W106" s="1" t="str">
        <f ca="1">IFERROR(AVERAGEIF(WT_Light_NonWABs[Retina],U106,OFFSET(WT_Light_NonWABs[BurstDuration],0,U$102)),"")</f>
        <v/>
      </c>
      <c r="X106" s="1" t="str">
        <f ca="1">IFERROR(AVERAGEIF(WT_Recovery_NonWABs[Retina],U106,OFFSET(WT_Recovery_NonWABs[BurstDuration],0,U$102)),"")</f>
        <v/>
      </c>
      <c r="AA106" s="1">
        <v>3</v>
      </c>
      <c r="AB106" s="1" t="str">
        <f ca="1">IFERROR(AVERAGEIF(WT_Dark_NonWABs[Retina],AA106,OFFSET(WT_Dark_NonWABs[BurstDuration],0,AA$102)),"")</f>
        <v/>
      </c>
      <c r="AC106" s="1" t="str">
        <f ca="1">IFERROR(AVERAGEIF(WT_Light_NonWABs[Retina],AA106,OFFSET(WT_Light_NonWABs[BurstDuration],0,AA$102)),"")</f>
        <v/>
      </c>
      <c r="AD106" s="1" t="str">
        <f ca="1">IFERROR(AVERAGEIF(WT_Recovery_NonWABs[Retina],AA106,OFFSET(WT_Recovery_NonWABs[BurstDuration],0,AA$102)),"")</f>
        <v/>
      </c>
    </row>
    <row r="107" spans="1:30" x14ac:dyDescent="0.25">
      <c r="A107" s="36"/>
      <c r="C107" s="1">
        <v>4</v>
      </c>
      <c r="D107" s="1" t="str">
        <f ca="1">IFERROR(AVERAGEIF(WT_Dark_NonWABs[Retina],C107,OFFSET(WT_Dark_NonWABs[BurstDuration],0,C$102)),"")</f>
        <v/>
      </c>
      <c r="E107" s="1" t="str">
        <f ca="1">IFERROR(AVERAGEIF(WT_Light_NonWABs[Retina],C107,OFFSET(WT_Light_NonWABs[BurstDuration],0,C$102)),"")</f>
        <v/>
      </c>
      <c r="F107" s="1" t="str">
        <f ca="1">IFERROR(AVERAGEIF(WT_Recovery_NonWABs[Retina],C107,OFFSET(WT_Recovery_NonWABs[BurstDuration],0,C$102)),"")</f>
        <v/>
      </c>
      <c r="I107" s="1">
        <v>4</v>
      </c>
      <c r="J107" s="1" t="str">
        <f ca="1">IFERROR(AVERAGEIF(WT_Dark_NonWABs[Retina],I107,OFFSET(WT_Dark_NonWABs[BurstDuration],0,I$102)),"")</f>
        <v/>
      </c>
      <c r="K107" s="1" t="str">
        <f ca="1">IFERROR(AVERAGEIF(WT_Light_NonWABs[Retina],I107,OFFSET(WT_Light_NonWABs[BurstDuration],0,I$102)),"")</f>
        <v/>
      </c>
      <c r="L107" s="1" t="str">
        <f ca="1">IFERROR(AVERAGEIF(WT_Recovery_NonWABs[Retina],I107,OFFSET(WT_Recovery_NonWABs[BurstDuration],0,I$102)),"")</f>
        <v/>
      </c>
      <c r="O107" s="1">
        <v>4</v>
      </c>
      <c r="P107" s="1" t="str">
        <f ca="1">IFERROR(AVERAGEIF(WT_Dark_NonWABs[Retina],O107,OFFSET(WT_Dark_NonWABs[BurstDuration],0,O$102)),"")</f>
        <v/>
      </c>
      <c r="Q107" s="1" t="str">
        <f ca="1">IFERROR(AVERAGEIF(WT_Light_NonWABs[Retina],O107,OFFSET(WT_Light_NonWABs[BurstDuration],0,O$102)),"")</f>
        <v/>
      </c>
      <c r="R107" s="1" t="str">
        <f ca="1">IFERROR(AVERAGEIF(WT_Recovery_NonWABs[Retina],O107,OFFSET(WT_Recovery_NonWABs[BurstDuration],0,O$102)),"")</f>
        <v/>
      </c>
      <c r="U107" s="1">
        <v>4</v>
      </c>
      <c r="V107" s="1" t="str">
        <f ca="1">IFERROR(AVERAGEIF(WT_Dark_NonWABs[Retina],U107,OFFSET(WT_Dark_NonWABs[BurstDuration],0,U$102)),"")</f>
        <v/>
      </c>
      <c r="W107" s="1" t="str">
        <f ca="1">IFERROR(AVERAGEIF(WT_Light_NonWABs[Retina],U107,OFFSET(WT_Light_NonWABs[BurstDuration],0,U$102)),"")</f>
        <v/>
      </c>
      <c r="X107" s="1" t="str">
        <f ca="1">IFERROR(AVERAGEIF(WT_Recovery_NonWABs[Retina],U107,OFFSET(WT_Recovery_NonWABs[BurstDuration],0,U$102)),"")</f>
        <v/>
      </c>
      <c r="AA107" s="1">
        <v>4</v>
      </c>
      <c r="AB107" s="1" t="str">
        <f ca="1">IFERROR(AVERAGEIF(WT_Dark_NonWABs[Retina],AA107,OFFSET(WT_Dark_NonWABs[BurstDuration],0,AA$102)),"")</f>
        <v/>
      </c>
      <c r="AC107" s="1" t="str">
        <f ca="1">IFERROR(AVERAGEIF(WT_Light_NonWABs[Retina],AA107,OFFSET(WT_Light_NonWABs[BurstDuration],0,AA$102)),"")</f>
        <v/>
      </c>
      <c r="AD107" s="1" t="str">
        <f ca="1">IFERROR(AVERAGEIF(WT_Recovery_NonWABs[Retina],AA107,OFFSET(WT_Recovery_NonWABs[BurstDuration],0,AA$102)),"")</f>
        <v/>
      </c>
    </row>
    <row r="108" spans="1:30" x14ac:dyDescent="0.25">
      <c r="A108" s="36"/>
      <c r="C108" s="1">
        <v>5</v>
      </c>
      <c r="D108" s="1" t="str">
        <f ca="1">IFERROR(AVERAGEIF(WT_Dark_NonWABs[Retina],C108,OFFSET(WT_Dark_NonWABs[BurstDuration],0,C$102)),"")</f>
        <v/>
      </c>
      <c r="E108" s="1" t="str">
        <f ca="1">IFERROR(AVERAGEIF(WT_Light_NonWABs[Retina],C108,OFFSET(WT_Light_NonWABs[BurstDuration],0,C$102)),"")</f>
        <v/>
      </c>
      <c r="F108" s="1" t="str">
        <f ca="1">IFERROR(AVERAGEIF(WT_Recovery_NonWABs[Retina],C108,OFFSET(WT_Recovery_NonWABs[BurstDuration],0,C$102)),"")</f>
        <v/>
      </c>
      <c r="I108" s="1">
        <v>5</v>
      </c>
      <c r="J108" s="1" t="str">
        <f ca="1">IFERROR(AVERAGEIF(WT_Dark_NonWABs[Retina],I108,OFFSET(WT_Dark_NonWABs[BurstDuration],0,I$102)),"")</f>
        <v/>
      </c>
      <c r="K108" s="1" t="str">
        <f ca="1">IFERROR(AVERAGEIF(WT_Light_NonWABs[Retina],I108,OFFSET(WT_Light_NonWABs[BurstDuration],0,I$102)),"")</f>
        <v/>
      </c>
      <c r="L108" s="1" t="str">
        <f ca="1">IFERROR(AVERAGEIF(WT_Recovery_NonWABs[Retina],I108,OFFSET(WT_Recovery_NonWABs[BurstDuration],0,I$102)),"")</f>
        <v/>
      </c>
      <c r="O108" s="1">
        <v>5</v>
      </c>
      <c r="P108" s="1" t="str">
        <f ca="1">IFERROR(AVERAGEIF(WT_Dark_NonWABs[Retina],O108,OFFSET(WT_Dark_NonWABs[BurstDuration],0,O$102)),"")</f>
        <v/>
      </c>
      <c r="Q108" s="1" t="str">
        <f ca="1">IFERROR(AVERAGEIF(WT_Light_NonWABs[Retina],O108,OFFSET(WT_Light_NonWABs[BurstDuration],0,O$102)),"")</f>
        <v/>
      </c>
      <c r="R108" s="1" t="str">
        <f ca="1">IFERROR(AVERAGEIF(WT_Recovery_NonWABs[Retina],O108,OFFSET(WT_Recovery_NonWABs[BurstDuration],0,O$102)),"")</f>
        <v/>
      </c>
      <c r="U108" s="1">
        <v>5</v>
      </c>
      <c r="V108" s="1" t="str">
        <f ca="1">IFERROR(AVERAGEIF(WT_Dark_NonWABs[Retina],U108,OFFSET(WT_Dark_NonWABs[BurstDuration],0,U$102)),"")</f>
        <v/>
      </c>
      <c r="W108" s="1" t="str">
        <f ca="1">IFERROR(AVERAGEIF(WT_Light_NonWABs[Retina],U108,OFFSET(WT_Light_NonWABs[BurstDuration],0,U$102)),"")</f>
        <v/>
      </c>
      <c r="X108" s="1" t="str">
        <f ca="1">IFERROR(AVERAGEIF(WT_Recovery_NonWABs[Retina],U108,OFFSET(WT_Recovery_NonWABs[BurstDuration],0,U$102)),"")</f>
        <v/>
      </c>
      <c r="AA108" s="1">
        <v>5</v>
      </c>
      <c r="AB108" s="1" t="str">
        <f ca="1">IFERROR(AVERAGEIF(WT_Dark_NonWABs[Retina],AA108,OFFSET(WT_Dark_NonWABs[BurstDuration],0,AA$102)),"")</f>
        <v/>
      </c>
      <c r="AC108" s="1" t="str">
        <f ca="1">IFERROR(AVERAGEIF(WT_Light_NonWABs[Retina],AA108,OFFSET(WT_Light_NonWABs[BurstDuration],0,AA$102)),"")</f>
        <v/>
      </c>
      <c r="AD108" s="1" t="str">
        <f ca="1">IFERROR(AVERAGEIF(WT_Recovery_NonWABs[Retina],AA108,OFFSET(WT_Recovery_NonWABs[BurstDuration],0,AA$102)),"")</f>
        <v/>
      </c>
    </row>
    <row r="109" spans="1:30" x14ac:dyDescent="0.25">
      <c r="A109" s="36"/>
      <c r="C109" s="1">
        <v>6</v>
      </c>
      <c r="D109" s="1" t="str">
        <f ca="1">IFERROR(AVERAGEIF(WT_Dark_NonWABs[Retina],C109,OFFSET(WT_Dark_NonWABs[BurstDuration],0,C$102)),"")</f>
        <v/>
      </c>
      <c r="E109" s="1" t="str">
        <f ca="1">IFERROR(AVERAGEIF(WT_Light_NonWABs[Retina],C109,OFFSET(WT_Light_NonWABs[BurstDuration],0,C$102)),"")</f>
        <v/>
      </c>
      <c r="F109" s="1" t="str">
        <f ca="1">IFERROR(AVERAGEIF(WT_Recovery_NonWABs[Retina],C109,OFFSET(WT_Recovery_NonWABs[BurstDuration],0,C$102)),"")</f>
        <v/>
      </c>
      <c r="I109" s="1">
        <v>6</v>
      </c>
      <c r="J109" s="1" t="str">
        <f ca="1">IFERROR(AVERAGEIF(WT_Dark_NonWABs[Retina],I109,OFFSET(WT_Dark_NonWABs[BurstDuration],0,I$102)),"")</f>
        <v/>
      </c>
      <c r="K109" s="1" t="str">
        <f ca="1">IFERROR(AVERAGEIF(WT_Light_NonWABs[Retina],I109,OFFSET(WT_Light_NonWABs[BurstDuration],0,I$102)),"")</f>
        <v/>
      </c>
      <c r="L109" s="1" t="str">
        <f ca="1">IFERROR(AVERAGEIF(WT_Recovery_NonWABs[Retina],I109,OFFSET(WT_Recovery_NonWABs[BurstDuration],0,I$102)),"")</f>
        <v/>
      </c>
      <c r="O109" s="1">
        <v>6</v>
      </c>
      <c r="P109" s="1" t="str">
        <f ca="1">IFERROR(AVERAGEIF(WT_Dark_NonWABs[Retina],O109,OFFSET(WT_Dark_NonWABs[BurstDuration],0,O$102)),"")</f>
        <v/>
      </c>
      <c r="Q109" s="1" t="str">
        <f ca="1">IFERROR(AVERAGEIF(WT_Light_NonWABs[Retina],O109,OFFSET(WT_Light_NonWABs[BurstDuration],0,O$102)),"")</f>
        <v/>
      </c>
      <c r="R109" s="1" t="str">
        <f ca="1">IFERROR(AVERAGEIF(WT_Recovery_NonWABs[Retina],O109,OFFSET(WT_Recovery_NonWABs[BurstDuration],0,O$102)),"")</f>
        <v/>
      </c>
      <c r="U109" s="1">
        <v>6</v>
      </c>
      <c r="V109" s="1" t="str">
        <f ca="1">IFERROR(AVERAGEIF(WT_Dark_NonWABs[Retina],U109,OFFSET(WT_Dark_NonWABs[BurstDuration],0,U$102)),"")</f>
        <v/>
      </c>
      <c r="W109" s="1" t="str">
        <f ca="1">IFERROR(AVERAGEIF(WT_Light_NonWABs[Retina],U109,OFFSET(WT_Light_NonWABs[BurstDuration],0,U$102)),"")</f>
        <v/>
      </c>
      <c r="X109" s="1" t="str">
        <f ca="1">IFERROR(AVERAGEIF(WT_Recovery_NonWABs[Retina],U109,OFFSET(WT_Recovery_NonWABs[BurstDuration],0,U$102)),"")</f>
        <v/>
      </c>
      <c r="AA109" s="1">
        <v>6</v>
      </c>
      <c r="AB109" s="1" t="str">
        <f ca="1">IFERROR(AVERAGEIF(WT_Dark_NonWABs[Retina],AA109,OFFSET(WT_Dark_NonWABs[BurstDuration],0,AA$102)),"")</f>
        <v/>
      </c>
      <c r="AC109" s="1" t="str">
        <f ca="1">IFERROR(AVERAGEIF(WT_Light_NonWABs[Retina],AA109,OFFSET(WT_Light_NonWABs[BurstDuration],0,AA$102)),"")</f>
        <v/>
      </c>
      <c r="AD109" s="1" t="str">
        <f ca="1">IFERROR(AVERAGEIF(WT_Recovery_NonWABs[Retina],AA109,OFFSET(WT_Recovery_NonWABs[BurstDuration],0,AA$102)),"")</f>
        <v/>
      </c>
    </row>
    <row r="110" spans="1:30" x14ac:dyDescent="0.25">
      <c r="C110" s="1">
        <v>7</v>
      </c>
      <c r="D110" s="1" t="str">
        <f ca="1">IFERROR(AVERAGEIF(WT_Dark_NonWABs[Retina],C110,OFFSET(WT_Dark_NonWABs[BurstDuration],0,C$102)),"")</f>
        <v/>
      </c>
      <c r="E110" s="1" t="str">
        <f ca="1">IFERROR(AVERAGEIF(WT_Light_NonWABs[Retina],C110,OFFSET(WT_Light_NonWABs[BurstDuration],0,C$102)),"")</f>
        <v/>
      </c>
      <c r="F110" s="1" t="str">
        <f ca="1">IFERROR(AVERAGEIF(WT_Recovery_NonWABs[Retina],C110,OFFSET(WT_Recovery_NonWABs[BurstDuration],0,C$102)),"")</f>
        <v/>
      </c>
      <c r="I110" s="1">
        <v>7</v>
      </c>
      <c r="J110" s="1" t="str">
        <f ca="1">IFERROR(AVERAGEIF(WT_Dark_NonWABs[Retina],I110,OFFSET(WT_Dark_NonWABs[BurstDuration],0,I$102)),"")</f>
        <v/>
      </c>
      <c r="K110" s="1" t="str">
        <f ca="1">IFERROR(AVERAGEIF(WT_Light_NonWABs[Retina],I110,OFFSET(WT_Light_NonWABs[BurstDuration],0,I$102)),"")</f>
        <v/>
      </c>
      <c r="L110" s="1" t="str">
        <f ca="1">IFERROR(AVERAGEIF(WT_Recovery_NonWABs[Retina],I110,OFFSET(WT_Recovery_NonWABs[BurstDuration],0,I$102)),"")</f>
        <v/>
      </c>
      <c r="O110" s="1">
        <v>7</v>
      </c>
      <c r="P110" s="1" t="str">
        <f ca="1">IFERROR(AVERAGEIF(WT_Dark_NonWABs[Retina],O110,OFFSET(WT_Dark_NonWABs[BurstDuration],0,O$102)),"")</f>
        <v/>
      </c>
      <c r="Q110" s="1" t="str">
        <f ca="1">IFERROR(AVERAGEIF(WT_Light_NonWABs[Retina],O110,OFFSET(WT_Light_NonWABs[BurstDuration],0,O$102)),"")</f>
        <v/>
      </c>
      <c r="R110" s="1" t="str">
        <f ca="1">IFERROR(AVERAGEIF(WT_Recovery_NonWABs[Retina],O110,OFFSET(WT_Recovery_NonWABs[BurstDuration],0,O$102)),"")</f>
        <v/>
      </c>
      <c r="U110" s="1">
        <v>7</v>
      </c>
      <c r="V110" s="1" t="str">
        <f ca="1">IFERROR(AVERAGEIF(WT_Dark_NonWABs[Retina],U110,OFFSET(WT_Dark_NonWABs[BurstDuration],0,U$102)),"")</f>
        <v/>
      </c>
      <c r="W110" s="1" t="str">
        <f ca="1">IFERROR(AVERAGEIF(WT_Light_NonWABs[Retina],U110,OFFSET(WT_Light_NonWABs[BurstDuration],0,U$102)),"")</f>
        <v/>
      </c>
      <c r="X110" s="1" t="str">
        <f ca="1">IFERROR(AVERAGEIF(WT_Recovery_NonWABs[Retina],U110,OFFSET(WT_Recovery_NonWABs[BurstDuration],0,U$102)),"")</f>
        <v/>
      </c>
      <c r="AA110" s="1">
        <v>7</v>
      </c>
      <c r="AB110" s="1" t="str">
        <f ca="1">IFERROR(AVERAGEIF(WT_Dark_NonWABs[Retina],AA110,OFFSET(WT_Dark_NonWABs[BurstDuration],0,AA$102)),"")</f>
        <v/>
      </c>
      <c r="AC110" s="1" t="str">
        <f ca="1">IFERROR(AVERAGEIF(WT_Light_NonWABs[Retina],AA110,OFFSET(WT_Light_NonWABs[BurstDuration],0,AA$102)),"")</f>
        <v/>
      </c>
      <c r="AD110" s="1" t="str">
        <f ca="1">IFERROR(AVERAGEIF(WT_Recovery_NonWABs[Retina],AA110,OFFSET(WT_Recovery_NonWABs[BurstDuration],0,AA$102)),"")</f>
        <v/>
      </c>
    </row>
  </sheetData>
  <mergeCells count="19">
    <mergeCell ref="O95:R95"/>
    <mergeCell ref="U95:X95"/>
    <mergeCell ref="AA95:AD95"/>
    <mergeCell ref="AA56:AD56"/>
    <mergeCell ref="AA17:AD17"/>
    <mergeCell ref="A76:A109"/>
    <mergeCell ref="C95:F95"/>
    <mergeCell ref="I95:L95"/>
    <mergeCell ref="C17:F17"/>
    <mergeCell ref="I56:L56"/>
    <mergeCell ref="C56:F56"/>
    <mergeCell ref="I17:L17"/>
    <mergeCell ref="U56:X56"/>
    <mergeCell ref="O56:R56"/>
    <mergeCell ref="U17:X17"/>
    <mergeCell ref="AG17:AJ17"/>
    <mergeCell ref="A1:A31"/>
    <mergeCell ref="A37:A70"/>
    <mergeCell ref="O17:R1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7.5703125" style="28" bestFit="1" customWidth="1"/>
    <col min="8" max="8" width="23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8" ht="21" x14ac:dyDescent="0.25">
      <c r="A1" s="37" t="s">
        <v>8</v>
      </c>
      <c r="B1" s="37"/>
      <c r="C1" s="38" t="s">
        <v>27</v>
      </c>
      <c r="D1" s="38"/>
      <c r="E1" s="38"/>
      <c r="F1" s="38"/>
      <c r="G1" s="38"/>
      <c r="H1" s="38"/>
    </row>
    <row r="2" spans="1:8" x14ac:dyDescent="0.25">
      <c r="A2" s="29" t="s">
        <v>3</v>
      </c>
      <c r="B2" s="29" t="s">
        <v>15</v>
      </c>
      <c r="C2" s="32" t="s">
        <v>24</v>
      </c>
      <c r="D2" s="32" t="s">
        <v>25</v>
      </c>
      <c r="E2" s="32" t="s">
        <v>20</v>
      </c>
      <c r="F2" s="32" t="s">
        <v>21</v>
      </c>
      <c r="G2" s="32" t="s">
        <v>22</v>
      </c>
      <c r="H2" s="29" t="s">
        <v>39</v>
      </c>
    </row>
    <row r="3" spans="1:8" x14ac:dyDescent="0.25">
      <c r="A3" s="27">
        <v>1</v>
      </c>
      <c r="B3" s="27"/>
      <c r="C3" s="30"/>
      <c r="D3" s="30"/>
      <c r="E3" s="30"/>
      <c r="F3" s="30"/>
      <c r="G3" s="30"/>
      <c r="H3" s="30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7" t="s">
        <v>8</v>
      </c>
      <c r="B1" s="37"/>
      <c r="C1" s="39" t="s">
        <v>23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8" width="18.7109375" style="28" bestFit="1" customWidth="1"/>
    <col min="9" max="9" width="11.7109375" style="28" bestFit="1" customWidth="1"/>
    <col min="10" max="10" width="29.5703125" style="28" bestFit="1" customWidth="1"/>
    <col min="11" max="11" width="16.7109375" style="28" bestFit="1" customWidth="1"/>
    <col min="12" max="16384" width="9.140625" style="28"/>
  </cols>
  <sheetData>
    <row r="1" spans="1:7" ht="21" x14ac:dyDescent="0.25">
      <c r="A1" s="37" t="s">
        <v>8</v>
      </c>
      <c r="B1" s="37"/>
      <c r="C1" s="40" t="s">
        <v>26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7.42578125" style="28" bestFit="1" customWidth="1"/>
    <col min="4" max="4" width="10.42578125" style="28" bestFit="1" customWidth="1"/>
    <col min="5" max="5" width="23.28515625" style="28" bestFit="1" customWidth="1"/>
    <col min="6" max="6" width="17.28515625" style="28" bestFit="1" customWidth="1"/>
    <col min="7" max="7" width="8.5703125" style="28" bestFit="1" customWidth="1"/>
    <col min="8" max="8" width="23.7109375" style="28" bestFit="1" customWidth="1"/>
    <col min="9" max="16384" width="9.140625" style="28"/>
  </cols>
  <sheetData>
    <row r="1" spans="1:8" ht="21" x14ac:dyDescent="0.25">
      <c r="A1" s="41" t="s">
        <v>9</v>
      </c>
      <c r="B1" s="41"/>
      <c r="C1" s="38" t="s">
        <v>27</v>
      </c>
      <c r="D1" s="38"/>
      <c r="E1" s="38"/>
      <c r="F1" s="38"/>
      <c r="G1" s="38"/>
      <c r="H1" s="38"/>
    </row>
    <row r="2" spans="1:8" x14ac:dyDescent="0.25">
      <c r="A2" s="29" t="s">
        <v>3</v>
      </c>
      <c r="B2" s="29" t="s">
        <v>15</v>
      </c>
      <c r="C2" s="32" t="s">
        <v>24</v>
      </c>
      <c r="D2" s="32" t="s">
        <v>25</v>
      </c>
      <c r="E2" s="32" t="s">
        <v>20</v>
      </c>
      <c r="F2" s="32" t="s">
        <v>21</v>
      </c>
      <c r="G2" s="32" t="s">
        <v>22</v>
      </c>
      <c r="H2" s="29" t="s">
        <v>39</v>
      </c>
    </row>
    <row r="3" spans="1:8" x14ac:dyDescent="0.25">
      <c r="A3" s="27">
        <v>1</v>
      </c>
      <c r="B3" s="27"/>
      <c r="C3" s="30"/>
      <c r="D3" s="30"/>
      <c r="E3" s="30"/>
      <c r="F3" s="30"/>
      <c r="G3" s="30"/>
      <c r="H3" s="30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B3" sqref="B3"/>
    </sheetView>
  </sheetViews>
  <sheetFormatPr defaultRowHeight="15" x14ac:dyDescent="0.25"/>
  <cols>
    <col min="1" max="1" width="9" style="27" bestFit="1" customWidth="1"/>
    <col min="2" max="2" width="9.28515625" style="28" bestFit="1" customWidth="1"/>
    <col min="3" max="3" width="15.7109375" style="28" bestFit="1" customWidth="1"/>
    <col min="4" max="4" width="17" style="28" bestFit="1" customWidth="1"/>
    <col min="5" max="5" width="10" style="28" bestFit="1" customWidth="1"/>
    <col min="6" max="6" width="29.5703125" style="28" bestFit="1" customWidth="1"/>
    <col min="7" max="7" width="16.7109375" style="28" bestFit="1" customWidth="1"/>
    <col min="8" max="16384" width="9.140625" style="28"/>
  </cols>
  <sheetData>
    <row r="1" spans="1:7" ht="21" x14ac:dyDescent="0.25">
      <c r="A1" s="41" t="s">
        <v>9</v>
      </c>
      <c r="B1" s="41"/>
      <c r="C1" s="39" t="s">
        <v>23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B3" sqref="B3"/>
    </sheetView>
  </sheetViews>
  <sheetFormatPr defaultRowHeight="15" x14ac:dyDescent="0.25"/>
  <cols>
    <col min="1" max="1" width="9" style="6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41" t="s">
        <v>9</v>
      </c>
      <c r="B1" s="41"/>
      <c r="C1" s="40" t="s">
        <v>26</v>
      </c>
      <c r="D1" s="40"/>
      <c r="E1" s="40"/>
      <c r="F1" s="40"/>
      <c r="G1" s="40"/>
    </row>
    <row r="2" spans="1:7" x14ac:dyDescent="0.25">
      <c r="A2" s="23" t="s">
        <v>3</v>
      </c>
      <c r="B2" s="23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6">
        <v>1</v>
      </c>
      <c r="B3" s="6"/>
      <c r="C3" s="17"/>
      <c r="D3" s="17"/>
      <c r="E3" s="17"/>
      <c r="F3" s="17"/>
      <c r="G3" s="17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8.570312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38" t="s">
        <v>27</v>
      </c>
      <c r="D1" s="38"/>
      <c r="E1" s="38"/>
      <c r="F1" s="38"/>
      <c r="G1" s="38"/>
    </row>
    <row r="2" spans="1:7" x14ac:dyDescent="0.25">
      <c r="A2" s="29" t="s">
        <v>3</v>
      </c>
      <c r="B2" s="29" t="s">
        <v>15</v>
      </c>
      <c r="C2" s="32" t="s">
        <v>24</v>
      </c>
      <c r="D2" s="32" t="s">
        <v>25</v>
      </c>
      <c r="E2" s="32" t="s">
        <v>20</v>
      </c>
      <c r="F2" s="32" t="s">
        <v>21</v>
      </c>
      <c r="G2" s="32" t="s">
        <v>22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39" t="s">
        <v>23</v>
      </c>
      <c r="D1" s="39"/>
      <c r="E1" s="39"/>
      <c r="F1" s="39"/>
      <c r="G1" s="39"/>
    </row>
    <row r="2" spans="1:7" x14ac:dyDescent="0.25">
      <c r="A2" s="29" t="s">
        <v>3</v>
      </c>
      <c r="B2" s="29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3"/>
  <sheetViews>
    <sheetView workbookViewId="0">
      <selection activeCell="B3" sqref="B3"/>
    </sheetView>
  </sheetViews>
  <sheetFormatPr defaultRowHeight="15" x14ac:dyDescent="0.25"/>
  <cols>
    <col min="1" max="1" width="9" style="31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s="28" customFormat="1" ht="21" x14ac:dyDescent="0.25">
      <c r="A1" s="37" t="s">
        <v>10</v>
      </c>
      <c r="B1" s="37"/>
      <c r="C1" s="40" t="s">
        <v>26</v>
      </c>
      <c r="D1" s="40"/>
      <c r="E1" s="40"/>
      <c r="F1" s="40"/>
      <c r="G1" s="40"/>
    </row>
    <row r="2" spans="1:7" x14ac:dyDescent="0.25">
      <c r="A2" s="29" t="s">
        <v>3</v>
      </c>
      <c r="B2" s="29" t="s">
        <v>15</v>
      </c>
      <c r="C2" s="29" t="s">
        <v>34</v>
      </c>
      <c r="D2" s="29" t="s">
        <v>35</v>
      </c>
      <c r="E2" s="29" t="s">
        <v>36</v>
      </c>
      <c r="F2" s="29" t="s">
        <v>37</v>
      </c>
      <c r="G2" s="29" t="s">
        <v>38</v>
      </c>
    </row>
    <row r="3" spans="1:7" x14ac:dyDescent="0.25">
      <c r="A3" s="27">
        <v>1</v>
      </c>
      <c r="B3" s="27"/>
      <c r="C3" s="30"/>
      <c r="D3" s="30"/>
      <c r="E3" s="30"/>
      <c r="F3" s="30"/>
      <c r="G3" s="30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Contents</vt:lpstr>
      <vt:lpstr>Invalid Units</vt:lpstr>
      <vt:lpstr>Stats</vt:lpstr>
      <vt:lpstr>Figures</vt:lpstr>
      <vt:lpstr>WT_Dark_All</vt:lpstr>
      <vt:lpstr>WT_Dark_WABs</vt:lpstr>
      <vt:lpstr>WT_Dark_NonWABs</vt:lpstr>
      <vt:lpstr>WT_Light_All</vt:lpstr>
      <vt:lpstr>WT_Light_WABs</vt:lpstr>
      <vt:lpstr>WT_Light_NonWABs</vt:lpstr>
      <vt:lpstr>WT_Recovery_All</vt:lpstr>
      <vt:lpstr>WT_Recovery_WABs</vt:lpstr>
      <vt:lpstr>WT_Recovery_NonWABs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2016-02-16T22:42:37Z</dcterms:modified>
</cp:coreProperties>
</file>