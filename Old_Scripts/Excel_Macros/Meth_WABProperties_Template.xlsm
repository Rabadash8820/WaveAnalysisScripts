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an_Programming\Programs\MEA-Cruncher\Old_Scripts\Excel_Macros\"/>
    </mc:Choice>
  </mc:AlternateContent>
  <bookViews>
    <workbookView xWindow="-15" yWindow="-15" windowWidth="14400" windowHeight="12855" tabRatio="721"/>
  </bookViews>
  <sheets>
    <sheet name="Contents" sheetId="9" r:id="rId1"/>
    <sheet name="mRGC Channels" sheetId="11" r:id="rId2"/>
    <sheet name="ANOVA Results" sheetId="12" r:id="rId3"/>
    <sheet name="Property Values" sheetId="2" r:id="rId4"/>
    <sheet name="Control" sheetId="6" r:id="rId5"/>
    <sheet name="LowMeth" sheetId="7" r:id="rId6"/>
    <sheet name="HighMeth" sheetId="8" r:id="rId7"/>
    <sheet name="Recovery" sheetId="16" r:id="rId8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42" i="2" l="1"/>
  <c r="E141" i="2"/>
  <c r="E125" i="2"/>
  <c r="E124" i="2"/>
  <c r="E111" i="2"/>
  <c r="E110" i="2"/>
  <c r="E97" i="2"/>
  <c r="E96" i="2"/>
  <c r="E83" i="2"/>
  <c r="E82" i="2"/>
  <c r="E66" i="2"/>
  <c r="E65" i="2"/>
  <c r="E50" i="2"/>
  <c r="E49" i="2"/>
  <c r="E35" i="2"/>
  <c r="E34" i="2"/>
  <c r="E20" i="2"/>
  <c r="E19" i="2"/>
  <c r="E4" i="2"/>
  <c r="E3" i="2"/>
  <c r="W141" i="2"/>
  <c r="W142" i="2"/>
  <c r="W143" i="2"/>
  <c r="W144" i="2"/>
  <c r="W145" i="2"/>
  <c r="W124" i="2"/>
  <c r="W125" i="2"/>
  <c r="W126" i="2"/>
  <c r="W127" i="2"/>
  <c r="W128" i="2"/>
  <c r="W111" i="2"/>
  <c r="W112" i="2"/>
  <c r="W113" i="2"/>
  <c r="W114" i="2"/>
  <c r="W115" i="2"/>
  <c r="W96" i="2"/>
  <c r="W97" i="2"/>
  <c r="W98" i="2"/>
  <c r="W99" i="2"/>
  <c r="W100" i="2"/>
  <c r="W81" i="2"/>
  <c r="W82" i="2"/>
  <c r="W83" i="2"/>
  <c r="W84" i="2"/>
  <c r="W85" i="2"/>
  <c r="W64" i="2"/>
  <c r="W65" i="2"/>
  <c r="W66" i="2"/>
  <c r="W67" i="2"/>
  <c r="W68" i="2"/>
  <c r="W48" i="2"/>
  <c r="W49" i="2"/>
  <c r="W50" i="2"/>
  <c r="W51" i="2"/>
  <c r="W52" i="2"/>
  <c r="W33" i="2"/>
  <c r="W34" i="2"/>
  <c r="W35" i="2"/>
  <c r="W36" i="2"/>
  <c r="W37" i="2"/>
  <c r="W140" i="2"/>
  <c r="W123" i="2"/>
  <c r="W110" i="2"/>
  <c r="W95" i="2"/>
  <c r="W80" i="2"/>
  <c r="W63" i="2"/>
  <c r="W47" i="2"/>
  <c r="W32" i="2"/>
  <c r="W19" i="2"/>
  <c r="W20" i="2"/>
  <c r="W21" i="2"/>
  <c r="W22" i="2"/>
  <c r="W23" i="2"/>
  <c r="W18" i="2"/>
  <c r="T3" i="2"/>
  <c r="U3" i="2"/>
  <c r="V3" i="2"/>
  <c r="W3" i="2"/>
  <c r="T4" i="2"/>
  <c r="U4" i="2"/>
  <c r="V4" i="2"/>
  <c r="W4" i="2"/>
  <c r="T5" i="2"/>
  <c r="U5" i="2"/>
  <c r="V5" i="2"/>
  <c r="W5" i="2"/>
  <c r="T6" i="2"/>
  <c r="U6" i="2"/>
  <c r="V6" i="2"/>
  <c r="W6" i="2"/>
  <c r="T7" i="2"/>
  <c r="U7" i="2"/>
  <c r="V7" i="2"/>
  <c r="W7" i="2"/>
  <c r="W2" i="2"/>
  <c r="V2" i="2"/>
  <c r="U2" i="2"/>
  <c r="T2" i="2"/>
  <c r="C3" i="2" l="1"/>
  <c r="T141" i="2" l="1"/>
  <c r="U141" i="2"/>
  <c r="V141" i="2"/>
  <c r="T142" i="2"/>
  <c r="U142" i="2"/>
  <c r="V142" i="2"/>
  <c r="T143" i="2"/>
  <c r="U143" i="2"/>
  <c r="V143" i="2"/>
  <c r="T144" i="2"/>
  <c r="U144" i="2"/>
  <c r="V144" i="2"/>
  <c r="T145" i="2"/>
  <c r="U145" i="2"/>
  <c r="V145" i="2"/>
  <c r="V140" i="2"/>
  <c r="U140" i="2"/>
  <c r="T140" i="2"/>
  <c r="D142" i="2"/>
  <c r="C142" i="2"/>
  <c r="B142" i="2"/>
  <c r="D141" i="2"/>
  <c r="C141" i="2"/>
  <c r="B141" i="2"/>
  <c r="B144" i="2" l="1"/>
  <c r="B143" i="2"/>
  <c r="T127" i="2"/>
  <c r="U127" i="2"/>
  <c r="V127" i="2"/>
  <c r="T128" i="2"/>
  <c r="U128" i="2"/>
  <c r="V128" i="2"/>
  <c r="T114" i="2"/>
  <c r="U114" i="2"/>
  <c r="V114" i="2"/>
  <c r="T115" i="2"/>
  <c r="U115" i="2"/>
  <c r="V115" i="2"/>
  <c r="T99" i="2"/>
  <c r="U99" i="2"/>
  <c r="V99" i="2"/>
  <c r="T100" i="2"/>
  <c r="U100" i="2"/>
  <c r="V100" i="2"/>
  <c r="T84" i="2"/>
  <c r="U84" i="2"/>
  <c r="V84" i="2"/>
  <c r="T85" i="2"/>
  <c r="U85" i="2"/>
  <c r="V85" i="2"/>
  <c r="T67" i="2"/>
  <c r="U67" i="2"/>
  <c r="V67" i="2"/>
  <c r="T68" i="2"/>
  <c r="U68" i="2"/>
  <c r="V68" i="2"/>
  <c r="T51" i="2"/>
  <c r="U51" i="2"/>
  <c r="V51" i="2"/>
  <c r="T52" i="2"/>
  <c r="U52" i="2"/>
  <c r="V52" i="2"/>
  <c r="T36" i="2"/>
  <c r="U36" i="2"/>
  <c r="V36" i="2"/>
  <c r="T37" i="2"/>
  <c r="U37" i="2"/>
  <c r="V37" i="2"/>
  <c r="T22" i="2"/>
  <c r="U22" i="2"/>
  <c r="V22" i="2"/>
  <c r="T23" i="2"/>
  <c r="U23" i="2"/>
  <c r="V23" i="2"/>
  <c r="D4" i="2" l="1"/>
  <c r="C4" i="2"/>
  <c r="B4" i="2"/>
  <c r="D3" i="2"/>
  <c r="B3" i="2"/>
  <c r="B19" i="2"/>
  <c r="B5" i="2" l="1"/>
  <c r="B6" i="2"/>
  <c r="T124" i="2"/>
  <c r="U124" i="2"/>
  <c r="V124" i="2"/>
  <c r="T125" i="2"/>
  <c r="U125" i="2"/>
  <c r="V125" i="2"/>
  <c r="T126" i="2"/>
  <c r="U126" i="2"/>
  <c r="V126" i="2"/>
  <c r="V123" i="2"/>
  <c r="U123" i="2"/>
  <c r="T123" i="2"/>
  <c r="T111" i="2"/>
  <c r="U111" i="2"/>
  <c r="V111" i="2"/>
  <c r="T112" i="2"/>
  <c r="U112" i="2"/>
  <c r="V112" i="2"/>
  <c r="T113" i="2"/>
  <c r="U113" i="2"/>
  <c r="V113" i="2"/>
  <c r="V110" i="2"/>
  <c r="U110" i="2"/>
  <c r="T110" i="2"/>
  <c r="T96" i="2"/>
  <c r="U96" i="2"/>
  <c r="V96" i="2"/>
  <c r="T97" i="2"/>
  <c r="U97" i="2"/>
  <c r="V97" i="2"/>
  <c r="T98" i="2"/>
  <c r="U98" i="2"/>
  <c r="V98" i="2"/>
  <c r="V95" i="2"/>
  <c r="U95" i="2"/>
  <c r="T95" i="2"/>
  <c r="T81" i="2"/>
  <c r="U81" i="2"/>
  <c r="V81" i="2"/>
  <c r="T82" i="2"/>
  <c r="U82" i="2"/>
  <c r="V82" i="2"/>
  <c r="T83" i="2"/>
  <c r="U83" i="2"/>
  <c r="V83" i="2"/>
  <c r="V80" i="2"/>
  <c r="U80" i="2"/>
  <c r="T80" i="2"/>
  <c r="T64" i="2"/>
  <c r="U64" i="2"/>
  <c r="V64" i="2"/>
  <c r="T65" i="2"/>
  <c r="U65" i="2"/>
  <c r="V65" i="2"/>
  <c r="T66" i="2"/>
  <c r="U66" i="2"/>
  <c r="V66" i="2"/>
  <c r="V63" i="2"/>
  <c r="U63" i="2"/>
  <c r="T63" i="2"/>
  <c r="T48" i="2"/>
  <c r="U48" i="2"/>
  <c r="V48" i="2"/>
  <c r="T49" i="2"/>
  <c r="U49" i="2"/>
  <c r="V49" i="2"/>
  <c r="T50" i="2"/>
  <c r="U50" i="2"/>
  <c r="V50" i="2"/>
  <c r="V47" i="2"/>
  <c r="U47" i="2"/>
  <c r="T47" i="2"/>
  <c r="T33" i="2"/>
  <c r="U33" i="2"/>
  <c r="V33" i="2"/>
  <c r="T34" i="2"/>
  <c r="U34" i="2"/>
  <c r="V34" i="2"/>
  <c r="T35" i="2"/>
  <c r="U35" i="2"/>
  <c r="V35" i="2"/>
  <c r="V32" i="2"/>
  <c r="U32" i="2"/>
  <c r="T32" i="2"/>
  <c r="T19" i="2"/>
  <c r="U19" i="2"/>
  <c r="V19" i="2"/>
  <c r="T20" i="2"/>
  <c r="U20" i="2"/>
  <c r="V20" i="2"/>
  <c r="T21" i="2"/>
  <c r="U21" i="2"/>
  <c r="V21" i="2"/>
  <c r="V18" i="2"/>
  <c r="U18" i="2"/>
  <c r="T18" i="2"/>
  <c r="C34" i="2" l="1"/>
  <c r="B34" i="2"/>
  <c r="B35" i="2"/>
  <c r="D34" i="2"/>
  <c r="B37" i="2" l="1"/>
  <c r="B36" i="2"/>
  <c r="D125" i="2" l="1"/>
  <c r="C125" i="2" l="1"/>
  <c r="B125" i="2"/>
  <c r="D124" i="2"/>
  <c r="C124" i="2"/>
  <c r="B124" i="2"/>
  <c r="B111" i="2"/>
  <c r="C111" i="2"/>
  <c r="D111" i="2"/>
  <c r="D110" i="2"/>
  <c r="C110" i="2"/>
  <c r="B110" i="2"/>
  <c r="D97" i="2"/>
  <c r="C97" i="2"/>
  <c r="B97" i="2"/>
  <c r="D96" i="2"/>
  <c r="C96" i="2"/>
  <c r="B96" i="2"/>
  <c r="D83" i="2"/>
  <c r="C83" i="2"/>
  <c r="B83" i="2"/>
  <c r="D82" i="2"/>
  <c r="C82" i="2"/>
  <c r="B82" i="2"/>
  <c r="D66" i="2"/>
  <c r="C66" i="2"/>
  <c r="B66" i="2"/>
  <c r="D65" i="2"/>
  <c r="C65" i="2"/>
  <c r="B65" i="2"/>
  <c r="D50" i="2"/>
  <c r="C50" i="2"/>
  <c r="B50" i="2"/>
  <c r="D49" i="2"/>
  <c r="C49" i="2"/>
  <c r="B49" i="2"/>
  <c r="D35" i="2"/>
  <c r="C35" i="2"/>
  <c r="D20" i="2"/>
  <c r="C20" i="2"/>
  <c r="B20" i="2"/>
  <c r="D19" i="2"/>
  <c r="C19" i="2"/>
  <c r="B98" i="2" l="1"/>
  <c r="B99" i="2"/>
  <c r="B85" i="2"/>
  <c r="B84" i="2"/>
  <c r="B67" i="2"/>
  <c r="B68" i="2"/>
  <c r="B126" i="2"/>
  <c r="B127" i="2"/>
  <c r="B21" i="2"/>
  <c r="B22" i="2"/>
  <c r="B52" i="2"/>
  <c r="B51" i="2"/>
  <c r="B113" i="2"/>
  <c r="B112" i="2"/>
</calcChain>
</file>

<file path=xl/sharedStrings.xml><?xml version="1.0" encoding="utf-8"?>
<sst xmlns="http://schemas.openxmlformats.org/spreadsheetml/2006/main" count="193" uniqueCount="34">
  <si>
    <t>Wildtype_Recovery</t>
  </si>
  <si>
    <t>Wildtype_Light</t>
  </si>
  <si>
    <t>Wildtype_Dark</t>
  </si>
  <si>
    <t>SEM</t>
  </si>
  <si>
    <t>Retina</t>
  </si>
  <si>
    <t>Electrode</t>
  </si>
  <si>
    <t>Avg</t>
  </si>
  <si>
    <t>Background Firing Rate</t>
  </si>
  <si>
    <t>% change</t>
  </si>
  <si>
    <t>fold change</t>
  </si>
  <si>
    <t>BackgroundISI</t>
  </si>
  <si>
    <t>Background Interspike Interval</t>
  </si>
  <si>
    <t>Percent of Spikes Occurring in Bursts</t>
  </si>
  <si>
    <t>Provide the names of electrodes that had mRGCs…these will then get excluded from further analysis (Ex: Retina 1, Electrode adch_33i)</t>
  </si>
  <si>
    <t>Recovery</t>
  </si>
  <si>
    <t>Burst Frequency</t>
  </si>
  <si>
    <t>Interburst Interval</t>
  </si>
  <si>
    <t>Burst Duration</t>
  </si>
  <si>
    <t>In-Burst Firing Rate</t>
  </si>
  <si>
    <t>Peak In-Burst Firing Rate</t>
  </si>
  <si>
    <t>In-Burst Interspike Interval</t>
  </si>
  <si>
    <t>Spikes Per Burst</t>
  </si>
  <si>
    <t>BackgroundFiringRate</t>
  </si>
  <si>
    <t>IBI</t>
  </si>
  <si>
    <t>BurstDuration</t>
  </si>
  <si>
    <t>PctSpikesInBursts</t>
  </si>
  <si>
    <t>BurstFreq</t>
  </si>
  <si>
    <t>InBurstFiringRate</t>
  </si>
  <si>
    <t>PeakInBurstFiringRate</t>
  </si>
  <si>
    <t>BurstISI</t>
  </si>
  <si>
    <t>SpikesInBurst</t>
  </si>
  <si>
    <t>Low Meth</t>
  </si>
  <si>
    <t>High Meth</t>
  </si>
  <si>
    <t>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</si>
</sst>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7CE"/>
      </patternFill>
    </fill>
  </fills>
  <borders count="15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0" fontId="3" fillId="3" borderId="0" applyNumberFormat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0" xfId="1" applyFont="1" applyFill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2" fillId="0" borderId="8" xfId="1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164" fontId="0" fillId="0" borderId="0" xfId="0" applyNumberFormat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</cellXfs>
  <cellStyles count="2">
    <cellStyle name="Bad" xfId="1" builtinId="27"/>
    <cellStyle name="Normal" xfId="0" builtinId="0"/>
  </cellStyles>
  <dxfs count="108"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6600"/>
      <color rgb="FFCCFF99"/>
      <color rgb="FF99FF66"/>
      <color rgb="FF008000"/>
      <color rgb="FFCCFFCC"/>
      <color rgb="FFFFCCCC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Values'!$A$1:$D$1</c:f>
          <c:strCache>
            <c:ptCount val="4"/>
            <c:pt idx="0">
              <c:v>Background Firing Rate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'Property Values'!$A$1:$E$1</c:f>
              <c:strCache>
                <c:ptCount val="5"/>
                <c:pt idx="0">
                  <c:v>Background Firing Rate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bg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Values'!$B$4:$E$4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plus>
            <c:minus>
              <c:numRef>
                <c:f>'Property Values'!$B$4:$E$4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Values'!$B$2:$E$2</c:f>
              <c:strCache>
                <c:ptCount val="4"/>
                <c:pt idx="0">
                  <c:v>Control</c:v>
                </c:pt>
                <c:pt idx="1">
                  <c:v>Low Meth</c:v>
                </c:pt>
                <c:pt idx="2">
                  <c:v>High Meth</c:v>
                </c:pt>
                <c:pt idx="3">
                  <c:v>Recovery</c:v>
                </c:pt>
              </c:strCache>
            </c:strRef>
          </c:cat>
          <c:val>
            <c:numRef>
              <c:f>'Property Values'!$B$3:$E$3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635207408"/>
        <c:axId val="-1635213392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Values'!$T$2:$W$2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Values'!$T$3:$W$3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Values'!$T$4:$W$4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Values'!$T$5:$W$5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Values'!$T$6:$W$6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>
              <a:solidFill>
                <a:schemeClr val="tx1"/>
              </a:solidFill>
              <a:prstDash val="sysDot"/>
            </a:ln>
          </c:spPr>
          <c:marker>
            <c:symbol val="none"/>
          </c:marker>
          <c:val>
            <c:numRef>
              <c:f>'Property Values'!$T$7:$W$7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35207408"/>
        <c:axId val="-1635213392"/>
      </c:lineChart>
      <c:catAx>
        <c:axId val="-1635207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35213392"/>
        <c:crosses val="autoZero"/>
        <c:auto val="1"/>
        <c:lblAlgn val="ctr"/>
        <c:lblOffset val="100"/>
        <c:noMultiLvlLbl val="0"/>
      </c:catAx>
      <c:valAx>
        <c:axId val="-16352133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minute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3520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Values'!$A$17:$D$17</c:f>
          <c:strCache>
            <c:ptCount val="4"/>
            <c:pt idx="0">
              <c:v>Background Interspike Interval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'Property Values'!$A$17:$E$17</c:f>
              <c:strCache>
                <c:ptCount val="5"/>
                <c:pt idx="0">
                  <c:v>Background Interspike Interval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bg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Values'!$B$20:$E$20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plus>
            <c:minus>
              <c:numRef>
                <c:f>'Property Values'!$B$20:$E$20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Values'!$B$18:$E$18</c:f>
              <c:strCache>
                <c:ptCount val="4"/>
                <c:pt idx="0">
                  <c:v>Control</c:v>
                </c:pt>
                <c:pt idx="1">
                  <c:v>Low Meth</c:v>
                </c:pt>
                <c:pt idx="2">
                  <c:v>High Meth</c:v>
                </c:pt>
                <c:pt idx="3">
                  <c:v>Recovery</c:v>
                </c:pt>
              </c:strCache>
            </c:strRef>
          </c:cat>
          <c:val>
            <c:numRef>
              <c:f>'Property Values'!$B$19:$E$19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635218832"/>
        <c:axId val="-163521121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Values'!$T$18:$W$18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Values'!$T$19:$W$19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Values'!$T$20:$W$20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Values'!$T$21:$W$21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Values'!$T$22:$W$22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Values'!$T$23:$W$23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35218832"/>
        <c:axId val="-1635211216"/>
      </c:lineChart>
      <c:catAx>
        <c:axId val="-163521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35211216"/>
        <c:crosses val="autoZero"/>
        <c:auto val="1"/>
        <c:lblAlgn val="ctr"/>
        <c:lblOffset val="100"/>
        <c:noMultiLvlLbl val="0"/>
      </c:catAx>
      <c:valAx>
        <c:axId val="-16352112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3521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Values'!$A$32:$D$32</c:f>
          <c:strCache>
            <c:ptCount val="4"/>
            <c:pt idx="0">
              <c:v>Burst Frequency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'Property Values'!$A$32:$E$32</c:f>
              <c:strCache>
                <c:ptCount val="5"/>
                <c:pt idx="0">
                  <c:v>Burst Frequency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bg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Values'!$B$35:$E$35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plus>
            <c:minus>
              <c:numRef>
                <c:f>'Property Values'!$B$35:$E$35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Values'!$B$33:$E$33</c:f>
              <c:strCache>
                <c:ptCount val="4"/>
                <c:pt idx="0">
                  <c:v>Control</c:v>
                </c:pt>
                <c:pt idx="1">
                  <c:v>Low Meth</c:v>
                </c:pt>
                <c:pt idx="2">
                  <c:v>High Meth</c:v>
                </c:pt>
                <c:pt idx="3">
                  <c:v>Recovery</c:v>
                </c:pt>
              </c:strCache>
            </c:strRef>
          </c:cat>
          <c:val>
            <c:numRef>
              <c:f>'Property Values'!$B$34:$E$34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635218288"/>
        <c:axId val="-163521774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Values'!$T$32:$W$32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Values'!$T$33:$W$33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Values'!$T$34:$W$34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Values'!$T$35:$W$35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Values'!$T$36:$W$36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Values'!$T$37:$W$37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35218288"/>
        <c:axId val="-1635217744"/>
      </c:lineChart>
      <c:catAx>
        <c:axId val="-1635218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35217744"/>
        <c:crosses val="autoZero"/>
        <c:auto val="1"/>
        <c:lblAlgn val="ctr"/>
        <c:lblOffset val="100"/>
        <c:noMultiLvlLbl val="0"/>
      </c:catAx>
      <c:valAx>
        <c:axId val="-163521774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Bursts</a:t>
                </a:r>
                <a:r>
                  <a:rPr lang="en-US" sz="1200" b="1" baseline="0">
                    <a:solidFill>
                      <a:schemeClr val="tx1"/>
                    </a:solidFill>
                  </a:rPr>
                  <a:t> / minute</a:t>
                </a:r>
                <a:endParaRPr lang="en-US" sz="1200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35218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Values'!$A$47:$D$47</c:f>
          <c:strCache>
            <c:ptCount val="4"/>
            <c:pt idx="0">
              <c:v>Interburst Interval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'Property Values'!$A$47:$E$47</c:f>
              <c:strCache>
                <c:ptCount val="5"/>
                <c:pt idx="0">
                  <c:v>Interburst Interval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bg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Values'!$B$50:$E$50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plus>
            <c:minus>
              <c:numRef>
                <c:f>'Property Values'!$B$50:$E$50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Values'!$B$48:$E$48</c:f>
              <c:strCache>
                <c:ptCount val="4"/>
                <c:pt idx="0">
                  <c:v>Control</c:v>
                </c:pt>
                <c:pt idx="1">
                  <c:v>Low Meth</c:v>
                </c:pt>
                <c:pt idx="2">
                  <c:v>High Meth</c:v>
                </c:pt>
                <c:pt idx="3">
                  <c:v>Recovery</c:v>
                </c:pt>
              </c:strCache>
            </c:strRef>
          </c:cat>
          <c:val>
            <c:numRef>
              <c:f>'Property Values'!$B$49:$E$49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343614144"/>
        <c:axId val="-1343612512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Values'!$T$47:$W$47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Values'!$T$48:$W$48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Values'!$T$49:$W$49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Values'!$T$50:$W$50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Values'!$T$51:$W$51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Values'!$T$52:$W$52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43614144"/>
        <c:axId val="-1343612512"/>
      </c:lineChart>
      <c:catAx>
        <c:axId val="-1343614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3612512"/>
        <c:crosses val="autoZero"/>
        <c:auto val="1"/>
        <c:lblAlgn val="ctr"/>
        <c:lblOffset val="100"/>
        <c:noMultiLvlLbl val="0"/>
      </c:catAx>
      <c:valAx>
        <c:axId val="-13436125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3614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Values'!$A$63:$D$63</c:f>
          <c:strCache>
            <c:ptCount val="4"/>
            <c:pt idx="0">
              <c:v>Burst Duration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'Property Values'!$A$63:$E$63</c:f>
              <c:strCache>
                <c:ptCount val="5"/>
                <c:pt idx="0">
                  <c:v>Burst Duration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bg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Values'!$B$66:$E$66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plus>
            <c:minus>
              <c:numRef>
                <c:f>'Property Values'!$B$66:$E$66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Values'!$B$64:$E$64</c:f>
              <c:strCache>
                <c:ptCount val="4"/>
                <c:pt idx="0">
                  <c:v>Control</c:v>
                </c:pt>
                <c:pt idx="1">
                  <c:v>Low Meth</c:v>
                </c:pt>
                <c:pt idx="2">
                  <c:v>High Meth</c:v>
                </c:pt>
                <c:pt idx="3">
                  <c:v>Recovery</c:v>
                </c:pt>
              </c:strCache>
            </c:strRef>
          </c:cat>
          <c:val>
            <c:numRef>
              <c:f>'Property Values'!$B$65:$E$65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343608704"/>
        <c:axId val="-134360598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Values'!$T$63:$W$63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Values'!$T$64:$W$64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Values'!$T$65:$W$65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Values'!$T$66:$W$66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Values'!$T$67:$W$67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Values'!$T$68:$W$68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43608704"/>
        <c:axId val="-1343605984"/>
      </c:lineChart>
      <c:catAx>
        <c:axId val="-134360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3605984"/>
        <c:crosses val="autoZero"/>
        <c:auto val="1"/>
        <c:lblAlgn val="ctr"/>
        <c:lblOffset val="100"/>
        <c:noMultiLvlLbl val="0"/>
      </c:catAx>
      <c:valAx>
        <c:axId val="-134360598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3608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Values'!$A$80:$D$80</c:f>
          <c:strCache>
            <c:ptCount val="4"/>
            <c:pt idx="0">
              <c:v>Percent of Spikes Occurring in Bursts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'Property Values'!$A$80:$E$80</c:f>
              <c:strCache>
                <c:ptCount val="5"/>
                <c:pt idx="0">
                  <c:v>Percent of Spikes Occurring in Bursts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bg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Values'!$B$83:$E$83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plus>
            <c:minus>
              <c:numRef>
                <c:f>'Property Values'!$B$83:$E$83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Values'!$B$81:$E$81</c:f>
              <c:strCache>
                <c:ptCount val="4"/>
                <c:pt idx="0">
                  <c:v>Control</c:v>
                </c:pt>
                <c:pt idx="1">
                  <c:v>Low Meth</c:v>
                </c:pt>
                <c:pt idx="2">
                  <c:v>High Meth</c:v>
                </c:pt>
                <c:pt idx="3">
                  <c:v>Recovery</c:v>
                </c:pt>
              </c:strCache>
            </c:strRef>
          </c:cat>
          <c:val>
            <c:numRef>
              <c:f>'Property Values'!$B$82:$E$82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343610880"/>
        <c:axId val="-134360108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Values'!$T$80:$W$80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Values'!$T$81:$W$81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Values'!$T$82:$W$82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Values'!$T$83:$W$83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Values'!$T$84:$W$84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'Property Values'!$T$85:$W$85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43610880"/>
        <c:axId val="-1343601088"/>
      </c:lineChart>
      <c:catAx>
        <c:axId val="-134361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3601088"/>
        <c:crosses val="autoZero"/>
        <c:auto val="1"/>
        <c:lblAlgn val="ctr"/>
        <c:lblOffset val="100"/>
        <c:noMultiLvlLbl val="0"/>
      </c:catAx>
      <c:valAx>
        <c:axId val="-134360108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Percent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3610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Values'!$A$94:$D$94</c:f>
          <c:strCache>
            <c:ptCount val="4"/>
            <c:pt idx="0">
              <c:v>In-Burst Firing Rate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'Property Values'!$A$94:$E$94</c:f>
              <c:strCache>
                <c:ptCount val="5"/>
                <c:pt idx="0">
                  <c:v>In-Burst Firing Rate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bg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Values'!$B$97:$E$97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plus>
            <c:minus>
              <c:numRef>
                <c:f>'Property Values'!$B$97:$E$97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Values'!$B$95:$E$95</c:f>
              <c:strCache>
                <c:ptCount val="4"/>
                <c:pt idx="0">
                  <c:v>Control</c:v>
                </c:pt>
                <c:pt idx="1">
                  <c:v>Low Meth</c:v>
                </c:pt>
                <c:pt idx="2">
                  <c:v>High Meth</c:v>
                </c:pt>
                <c:pt idx="3">
                  <c:v>Recovery</c:v>
                </c:pt>
              </c:strCache>
            </c:strRef>
          </c:cat>
          <c:val>
            <c:numRef>
              <c:f>'Property Values'!$B$96:$E$96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343613056"/>
        <c:axId val="-134360761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Values'!$T$95:$W$95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Values'!$T$96:$W$96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Values'!$T$97:$W$97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Values'!$T$98:$W$98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Values'!$T$99:$W$99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Values'!$T$100:$W$100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43613056"/>
        <c:axId val="-1343607616"/>
      </c:lineChart>
      <c:catAx>
        <c:axId val="-1343613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3607616"/>
        <c:crosses val="autoZero"/>
        <c:auto val="1"/>
        <c:lblAlgn val="ctr"/>
        <c:lblOffset val="100"/>
        <c:noMultiLvlLbl val="0"/>
      </c:catAx>
      <c:valAx>
        <c:axId val="-13436076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Second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361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Values'!$A$108:$D$108</c:f>
          <c:strCache>
            <c:ptCount val="4"/>
            <c:pt idx="0">
              <c:v>Peak In-Burst Firing Rate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'Property Values'!$A$108:$E$108</c:f>
              <c:strCache>
                <c:ptCount val="5"/>
                <c:pt idx="0">
                  <c:v>Peak In-Burst Firing Rate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bg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Values'!$B$111:$E$111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plus>
            <c:minus>
              <c:numRef>
                <c:f>'Property Values'!$B$111:$E$111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Values'!$B$109:$E$109</c:f>
              <c:strCache>
                <c:ptCount val="4"/>
                <c:pt idx="0">
                  <c:v>Control</c:v>
                </c:pt>
                <c:pt idx="1">
                  <c:v>Low Meth</c:v>
                </c:pt>
                <c:pt idx="2">
                  <c:v>High Meth</c:v>
                </c:pt>
                <c:pt idx="3">
                  <c:v>Recovery</c:v>
                </c:pt>
              </c:strCache>
            </c:strRef>
          </c:cat>
          <c:val>
            <c:numRef>
              <c:f>'Property Values'!$B$110:$E$110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343600000"/>
        <c:axId val="-134360054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Values'!$T$110:$W$110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Values'!$T$111:$W$111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Values'!$T$112:$W$112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Values'!$T$113:$W$113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Values'!$T$114:$W$114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Values'!$T$115:$W$115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43600000"/>
        <c:axId val="-1343600544"/>
      </c:lineChart>
      <c:catAx>
        <c:axId val="-1343600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3600544"/>
        <c:crosses val="autoZero"/>
        <c:auto val="1"/>
        <c:lblAlgn val="ctr"/>
        <c:lblOffset val="100"/>
        <c:noMultiLvlLbl val="0"/>
      </c:catAx>
      <c:valAx>
        <c:axId val="-134360054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Second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3600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Values'!$A$122:$D$122</c:f>
          <c:strCache>
            <c:ptCount val="4"/>
            <c:pt idx="0">
              <c:v>In-Burst Interspike Interval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'Property Values'!$A$122:$E$122</c:f>
              <c:strCache>
                <c:ptCount val="5"/>
                <c:pt idx="0">
                  <c:v>In-Burst Interspike Interval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bg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Values'!$B$125:$E$125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plus>
            <c:minus>
              <c:numRef>
                <c:f>'Property Values'!$B$125:$E$125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Values'!$B$123:$E$123</c:f>
              <c:strCache>
                <c:ptCount val="4"/>
                <c:pt idx="0">
                  <c:v>Control</c:v>
                </c:pt>
                <c:pt idx="1">
                  <c:v>Low Meth</c:v>
                </c:pt>
                <c:pt idx="2">
                  <c:v>High Meth</c:v>
                </c:pt>
                <c:pt idx="3">
                  <c:v>Recovery</c:v>
                </c:pt>
              </c:strCache>
            </c:strRef>
          </c:cat>
          <c:val>
            <c:numRef>
              <c:f>'Property Values'!$B$124:$E$124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343611968"/>
        <c:axId val="-1343601632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Values'!$T$123:$W$123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Values'!$T$124:$W$124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Values'!$T$125:$W$125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Values'!$T$126:$W$126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Values'!$T$127:$W$127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Values'!$T$128:$W$128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43611968"/>
        <c:axId val="-1343601632"/>
      </c:lineChart>
      <c:catAx>
        <c:axId val="-1343611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3601632"/>
        <c:crosses val="autoZero"/>
        <c:auto val="1"/>
        <c:lblAlgn val="ctr"/>
        <c:lblOffset val="100"/>
        <c:noMultiLvlLbl val="0"/>
      </c:catAx>
      <c:valAx>
        <c:axId val="-13436016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361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Values'!$A$139:$D$139</c:f>
          <c:strCache>
            <c:ptCount val="4"/>
            <c:pt idx="0">
              <c:v>Spikes Per Burst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'Property Values'!$A$139:$E$139</c:f>
              <c:strCache>
                <c:ptCount val="5"/>
                <c:pt idx="0">
                  <c:v>Spikes Per Burst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bg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Values'!$B$142:$E$142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plus>
            <c:minus>
              <c:numRef>
                <c:f>'Property Values'!$B$142:$E$142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minus>
            <c:spPr>
              <a:noFill/>
              <a:ln w="1905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Values'!$B$140:$E$140</c:f>
              <c:strCache>
                <c:ptCount val="4"/>
                <c:pt idx="0">
                  <c:v>Control</c:v>
                </c:pt>
                <c:pt idx="1">
                  <c:v>Low Meth</c:v>
                </c:pt>
                <c:pt idx="2">
                  <c:v>High Meth</c:v>
                </c:pt>
                <c:pt idx="3">
                  <c:v>Recovery</c:v>
                </c:pt>
              </c:strCache>
            </c:strRef>
          </c:cat>
          <c:val>
            <c:numRef>
              <c:f>'Property Values'!$B$141:$E$141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343604352"/>
        <c:axId val="-134360652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Values'!$T$140:$W$140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Values'!$T$141:$W$141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Values'!$T$142:$W$142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Values'!$T$143:$W$143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Values'!$T$144:$W$144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Values'!$T$145:$W$145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43604352"/>
        <c:axId val="-1343606528"/>
      </c:lineChart>
      <c:catAx>
        <c:axId val="-1343604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3606528"/>
        <c:crosses val="autoZero"/>
        <c:auto val="1"/>
        <c:lblAlgn val="ctr"/>
        <c:lblOffset val="100"/>
        <c:noMultiLvlLbl val="0"/>
      </c:catAx>
      <c:valAx>
        <c:axId val="-13436065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Spikes / Burst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360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190500</xdr:colOff>
          <xdr:row>0</xdr:row>
          <xdr:rowOff>9525</xdr:rowOff>
        </xdr:from>
        <xdr:to>
          <xdr:col>15</xdr:col>
          <xdr:colOff>0</xdr:colOff>
          <xdr:row>1</xdr:row>
          <xdr:rowOff>133350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Remove mRGCs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219073</xdr:colOff>
      <xdr:row>0</xdr:row>
      <xdr:rowOff>0</xdr:rowOff>
    </xdr:from>
    <xdr:to>
      <xdr:col>14</xdr:col>
      <xdr:colOff>333374</xdr:colOff>
      <xdr:row>14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204787</xdr:colOff>
      <xdr:row>14</xdr:row>
      <xdr:rowOff>100012</xdr:rowOff>
    </xdr:from>
    <xdr:to>
      <xdr:col>14</xdr:col>
      <xdr:colOff>342900</xdr:colOff>
      <xdr:row>28</xdr:row>
      <xdr:rowOff>119062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214312</xdr:colOff>
      <xdr:row>29</xdr:row>
      <xdr:rowOff>14287</xdr:rowOff>
    </xdr:from>
    <xdr:to>
      <xdr:col>14</xdr:col>
      <xdr:colOff>333375</xdr:colOff>
      <xdr:row>43</xdr:row>
      <xdr:rowOff>33337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214312</xdr:colOff>
      <xdr:row>43</xdr:row>
      <xdr:rowOff>138112</xdr:rowOff>
    </xdr:from>
    <xdr:to>
      <xdr:col>14</xdr:col>
      <xdr:colOff>306261</xdr:colOff>
      <xdr:row>58</xdr:row>
      <xdr:rowOff>4762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233361</xdr:colOff>
      <xdr:row>58</xdr:row>
      <xdr:rowOff>119062</xdr:rowOff>
    </xdr:from>
    <xdr:to>
      <xdr:col>14</xdr:col>
      <xdr:colOff>295274</xdr:colOff>
      <xdr:row>73</xdr:row>
      <xdr:rowOff>4762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228599</xdr:colOff>
      <xdr:row>74</xdr:row>
      <xdr:rowOff>185737</xdr:rowOff>
    </xdr:from>
    <xdr:to>
      <xdr:col>14</xdr:col>
      <xdr:colOff>333375</xdr:colOff>
      <xdr:row>89</xdr:row>
      <xdr:rowOff>33337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219075</xdr:colOff>
      <xdr:row>89</xdr:row>
      <xdr:rowOff>100012</xdr:rowOff>
    </xdr:from>
    <xdr:to>
      <xdr:col>14</xdr:col>
      <xdr:colOff>314325</xdr:colOff>
      <xdr:row>103</xdr:row>
      <xdr:rowOff>138112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238124</xdr:colOff>
      <xdr:row>103</xdr:row>
      <xdr:rowOff>166687</xdr:rowOff>
    </xdr:from>
    <xdr:to>
      <xdr:col>14</xdr:col>
      <xdr:colOff>361950</xdr:colOff>
      <xdr:row>118</xdr:row>
      <xdr:rowOff>14287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238124</xdr:colOff>
      <xdr:row>118</xdr:row>
      <xdr:rowOff>61912</xdr:rowOff>
    </xdr:from>
    <xdr:to>
      <xdr:col>14</xdr:col>
      <xdr:colOff>400050</xdr:colOff>
      <xdr:row>132</xdr:row>
      <xdr:rowOff>100012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142875</xdr:colOff>
      <xdr:row>135</xdr:row>
      <xdr:rowOff>166687</xdr:rowOff>
    </xdr:from>
    <xdr:to>
      <xdr:col>14</xdr:col>
      <xdr:colOff>447675</xdr:colOff>
      <xdr:row>150</xdr:row>
      <xdr:rowOff>23812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1:E7" totalsRowShown="0" headerRowDxfId="107" dataDxfId="106">
  <autoFilter ref="A1:E7"/>
  <tableColumns count="5">
    <tableColumn id="1" name="Retina" dataDxfId="105"/>
    <tableColumn id="5" name="Control" dataDxfId="104"/>
    <tableColumn id="6" name="Low Meth" dataDxfId="103"/>
    <tableColumn id="7" name="High Meth" dataDxfId="102"/>
    <tableColumn id="2" name="Recovery" dataDxfId="10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Control" displayName="Control" ref="A1:L2" insertRow="1" headerRowDxfId="94" dataDxfId="93" totalsRowDxfId="92">
  <autoFilter ref="A1:L2"/>
  <tableColumns count="12">
    <tableColumn id="11" name="Retina" totalsRowLabel="Total" dataDxfId="91" totalsRowDxfId="90"/>
    <tableColumn id="1" name="Electrode" totalsRowFunction="count" dataDxfId="89"/>
    <tableColumn id="2" name="BackgroundFiringRate" totalsRowFunction="average" dataDxfId="88"/>
    <tableColumn id="3" name="BackgroundISI" totalsRowFunction="average" dataDxfId="87"/>
    <tableColumn id="4" name="BurstFreq" totalsRowFunction="average" dataDxfId="86"/>
    <tableColumn id="5" name="IBI" totalsRowFunction="average" dataDxfId="85"/>
    <tableColumn id="6" name="BurstDuration" totalsRowFunction="average" dataDxfId="84"/>
    <tableColumn id="7" name="PctSpikesInBursts" totalsRowFunction="average" dataDxfId="83"/>
    <tableColumn id="8" name="InBurstFiringRate" totalsRowFunction="average" dataDxfId="82"/>
    <tableColumn id="9" name="PeakInBurstFiringRate" totalsRowFunction="average" dataDxfId="81"/>
    <tableColumn id="10" name="BurstISI" totalsRowFunction="average" dataDxfId="80"/>
    <tableColumn id="12" name="SpikesInBurst" dataDxfId="79" totalsRowDxfId="7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LowMeth" displayName="LowMeth" ref="A1:L2" insertRow="1" headerRowDxfId="77" dataDxfId="76">
  <autoFilter ref="A1:L2"/>
  <tableColumns count="12">
    <tableColumn id="11" name="Retina" totalsRowLabel="Total" dataDxfId="75" totalsRowDxfId="74"/>
    <tableColumn id="1" name="Electrode" dataDxfId="73" totalsRowDxfId="72"/>
    <tableColumn id="2" name="BackgroundFiringRate" totalsRowFunction="average" dataDxfId="71" totalsRowDxfId="70"/>
    <tableColumn id="3" name="BackgroundISI" totalsRowFunction="average" dataDxfId="69" totalsRowDxfId="68"/>
    <tableColumn id="4" name="BurstFreq" totalsRowFunction="average" dataDxfId="67" totalsRowDxfId="66"/>
    <tableColumn id="5" name="IBI" totalsRowFunction="average" dataDxfId="65" totalsRowDxfId="64"/>
    <tableColumn id="6" name="BurstDuration" totalsRowFunction="average" dataDxfId="63" totalsRowDxfId="62"/>
    <tableColumn id="7" name="PctSpikesInBursts" totalsRowFunction="average" dataDxfId="61" totalsRowDxfId="60"/>
    <tableColumn id="8" name="InBurstFiringRate" totalsRowFunction="average" dataDxfId="59" totalsRowDxfId="58"/>
    <tableColumn id="9" name="PeakInBurstFiringRate" totalsRowFunction="average" dataDxfId="57" totalsRowDxfId="56"/>
    <tableColumn id="10" name="BurstISI" totalsRowFunction="average" dataDxfId="55" totalsRowDxfId="54"/>
    <tableColumn id="12" name="SpikesInBurst" dataDxfId="53" totalsRowDxfId="5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8" name="HighMeth" displayName="HighMeth" ref="A1:L2" insertRow="1" headerRowDxfId="51" dataDxfId="50">
  <autoFilter ref="A1:L2"/>
  <tableColumns count="12">
    <tableColumn id="11" name="Retina" totalsRowLabel="Total" dataDxfId="49" totalsRowDxfId="48"/>
    <tableColumn id="1" name="Electrode" dataDxfId="47" totalsRowDxfId="46"/>
    <tableColumn id="2" name="BackgroundFiringRate" totalsRowFunction="average" dataDxfId="45" totalsRowDxfId="44"/>
    <tableColumn id="3" name="BackgroundISI" totalsRowFunction="average" dataDxfId="43" totalsRowDxfId="42"/>
    <tableColumn id="4" name="BurstFreq" totalsRowFunction="average" dataDxfId="41" totalsRowDxfId="40"/>
    <tableColumn id="5" name="IBI" totalsRowFunction="average" dataDxfId="39" totalsRowDxfId="38"/>
    <tableColumn id="6" name="BurstDuration" totalsRowFunction="average" dataDxfId="37" totalsRowDxfId="36"/>
    <tableColumn id="7" name="PctSpikesInBursts" totalsRowFunction="average" dataDxfId="35" totalsRowDxfId="34"/>
    <tableColumn id="8" name="InBurstFiringRate" totalsRowFunction="average" dataDxfId="33" totalsRowDxfId="32"/>
    <tableColumn id="9" name="PeakInBurstFiringRate" totalsRowFunction="average" dataDxfId="31" totalsRowDxfId="30"/>
    <tableColumn id="10" name="BurstISI" totalsRowFunction="average" dataDxfId="29" totalsRowDxfId="28"/>
    <tableColumn id="12" name="SpikesInBurst" dataDxfId="27" totalsRowDxfId="2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Recovery" displayName="Recovery" ref="A1:L2" insertRow="1" headerRowDxfId="25" dataDxfId="24">
  <autoFilter ref="A1:L2"/>
  <tableColumns count="12">
    <tableColumn id="11" name="Retina" totalsRowLabel="Total" dataDxfId="23" totalsRowDxfId="22"/>
    <tableColumn id="1" name="Electrode" dataDxfId="21" totalsRowDxfId="20"/>
    <tableColumn id="2" name="BackgroundFiringRate" totalsRowFunction="average" dataDxfId="19" totalsRowDxfId="18"/>
    <tableColumn id="3" name="BackgroundISI" totalsRowFunction="average" dataDxfId="17" totalsRowDxfId="16"/>
    <tableColumn id="4" name="BurstFreq" totalsRowFunction="average" dataDxfId="15" totalsRowDxfId="14"/>
    <tableColumn id="5" name="IBI" totalsRowFunction="average" dataDxfId="13" totalsRowDxfId="12"/>
    <tableColumn id="6" name="BurstDuration" totalsRowFunction="average" dataDxfId="11" totalsRowDxfId="10"/>
    <tableColumn id="7" name="PctSpikesInBursts" totalsRowFunction="average" dataDxfId="9" totalsRowDxfId="8"/>
    <tableColumn id="8" name="InBurstFiringRate" totalsRowFunction="average" dataDxfId="7" totalsRowDxfId="6"/>
    <tableColumn id="9" name="PeakInBurstFiringRate" totalsRowFunction="average" dataDxfId="5" totalsRowDxfId="4"/>
    <tableColumn id="10" name="BurstISI" totalsRowFunction="average" dataDxfId="3" totalsRowDxfId="2"/>
    <tableColumn id="12" name="SpikesInBurst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7"/>
  <sheetViews>
    <sheetView tabSelected="1" workbookViewId="0">
      <selection activeCell="B2" sqref="B2"/>
    </sheetView>
  </sheetViews>
  <sheetFormatPr defaultRowHeight="15" x14ac:dyDescent="0.25"/>
  <cols>
    <col min="1" max="1" width="11.28515625" style="1" bestFit="1" customWidth="1"/>
    <col min="2" max="4" width="27.85546875" style="1" bestFit="1" customWidth="1"/>
    <col min="5" max="5" width="13.7109375" style="1" bestFit="1" customWidth="1"/>
    <col min="6" max="16384" width="9.140625" style="1"/>
  </cols>
  <sheetData>
    <row r="1" spans="1:5" x14ac:dyDescent="0.25">
      <c r="A1" s="1" t="s">
        <v>4</v>
      </c>
      <c r="B1" s="1" t="s">
        <v>33</v>
      </c>
      <c r="C1" s="1" t="s">
        <v>31</v>
      </c>
      <c r="D1" s="1" t="s">
        <v>32</v>
      </c>
      <c r="E1" s="1" t="s">
        <v>14</v>
      </c>
    </row>
    <row r="2" spans="1:5" x14ac:dyDescent="0.25">
      <c r="A2" s="1">
        <v>1</v>
      </c>
    </row>
    <row r="3" spans="1:5" x14ac:dyDescent="0.25">
      <c r="A3" s="1">
        <v>2</v>
      </c>
    </row>
    <row r="4" spans="1:5" x14ac:dyDescent="0.25">
      <c r="A4" s="1">
        <v>3</v>
      </c>
    </row>
    <row r="5" spans="1:5" x14ac:dyDescent="0.25">
      <c r="A5" s="1">
        <v>4</v>
      </c>
    </row>
    <row r="6" spans="1:5" x14ac:dyDescent="0.25">
      <c r="A6" s="1">
        <v>5</v>
      </c>
    </row>
    <row r="7" spans="1:5" x14ac:dyDescent="0.25">
      <c r="A7" s="1">
        <v>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242"/>
  <sheetViews>
    <sheetView workbookViewId="0">
      <selection activeCell="A5" sqref="A5"/>
    </sheetView>
  </sheetViews>
  <sheetFormatPr defaultRowHeight="15" x14ac:dyDescent="0.25"/>
  <cols>
    <col min="1" max="1" width="9.140625" style="19"/>
    <col min="2" max="2" width="9.140625" style="20"/>
    <col min="3" max="3" width="9.140625" style="19"/>
    <col min="4" max="4" width="9.140625" style="20"/>
    <col min="5" max="5" width="9.140625" style="19"/>
    <col min="6" max="6" width="9.140625" style="20"/>
    <col min="7" max="7" width="9.140625" style="19"/>
    <col min="8" max="9" width="9.140625" style="20"/>
    <col min="10" max="10" width="18.5703125" style="20" bestFit="1" customWidth="1"/>
    <col min="11" max="12" width="9.140625" style="20"/>
    <col min="13" max="13" width="14.5703125" style="20" bestFit="1" customWidth="1"/>
    <col min="14" max="15" width="9.140625" style="20"/>
    <col min="16" max="16" width="18.5703125" style="20" bestFit="1" customWidth="1"/>
    <col min="17" max="16384" width="9.140625" style="20"/>
  </cols>
  <sheetData>
    <row r="1" spans="1:7" s="21" customFormat="1" x14ac:dyDescent="0.25">
      <c r="A1" s="22" t="s">
        <v>13</v>
      </c>
    </row>
    <row r="2" spans="1:7" s="21" customFormat="1" x14ac:dyDescent="0.25">
      <c r="A2" s="22"/>
    </row>
    <row r="3" spans="1:7" s="15" customFormat="1" x14ac:dyDescent="0.25">
      <c r="A3" s="32" t="s">
        <v>2</v>
      </c>
      <c r="B3" s="33"/>
      <c r="C3" s="32" t="s">
        <v>1</v>
      </c>
      <c r="D3" s="33"/>
      <c r="E3" s="32" t="s">
        <v>0</v>
      </c>
      <c r="F3" s="33"/>
      <c r="G3" s="14"/>
    </row>
    <row r="4" spans="1:7" s="17" customFormat="1" x14ac:dyDescent="0.25">
      <c r="A4" s="16" t="s">
        <v>4</v>
      </c>
      <c r="B4" s="17" t="s">
        <v>5</v>
      </c>
      <c r="C4" s="16" t="s">
        <v>4</v>
      </c>
      <c r="D4" s="17" t="s">
        <v>5</v>
      </c>
      <c r="E4" s="16" t="s">
        <v>4</v>
      </c>
      <c r="F4" s="17" t="s">
        <v>5</v>
      </c>
      <c r="G4" s="16"/>
    </row>
    <row r="5" spans="1:7" s="13" customFormat="1" x14ac:dyDescent="0.25">
      <c r="A5" s="18"/>
      <c r="B5"/>
      <c r="C5" s="18"/>
      <c r="D5"/>
      <c r="E5" s="18"/>
      <c r="F5"/>
      <c r="G5" s="18"/>
    </row>
    <row r="6" spans="1:7" s="13" customFormat="1" x14ac:dyDescent="0.25">
      <c r="A6" s="18"/>
      <c r="B6"/>
      <c r="C6" s="18"/>
      <c r="D6"/>
      <c r="E6" s="18"/>
      <c r="F6"/>
      <c r="G6" s="18"/>
    </row>
    <row r="7" spans="1:7" x14ac:dyDescent="0.25">
      <c r="A7" s="18"/>
      <c r="B7"/>
      <c r="C7" s="18"/>
      <c r="D7"/>
      <c r="E7" s="18"/>
      <c r="F7"/>
    </row>
    <row r="8" spans="1:7" s="13" customFormat="1" x14ac:dyDescent="0.25">
      <c r="A8" s="18"/>
      <c r="B8"/>
      <c r="C8" s="18"/>
      <c r="D8"/>
      <c r="E8" s="18"/>
      <c r="F8"/>
      <c r="G8" s="18"/>
    </row>
    <row r="9" spans="1:7" s="13" customFormat="1" x14ac:dyDescent="0.25">
      <c r="A9" s="18"/>
      <c r="B9"/>
      <c r="C9" s="18"/>
      <c r="D9"/>
      <c r="E9" s="18"/>
      <c r="F9"/>
      <c r="G9" s="18"/>
    </row>
    <row r="10" spans="1:7" s="13" customFormat="1" x14ac:dyDescent="0.25">
      <c r="A10" s="18"/>
      <c r="B10"/>
      <c r="C10" s="18"/>
      <c r="D10"/>
      <c r="E10" s="18"/>
      <c r="F10"/>
      <c r="G10" s="18"/>
    </row>
    <row r="11" spans="1:7" x14ac:dyDescent="0.25">
      <c r="A11" s="18"/>
      <c r="B11"/>
      <c r="C11" s="18"/>
      <c r="D11"/>
      <c r="E11" s="18"/>
      <c r="F11"/>
    </row>
    <row r="12" spans="1:7" s="13" customFormat="1" x14ac:dyDescent="0.25">
      <c r="A12" s="18"/>
      <c r="B12"/>
      <c r="C12" s="18"/>
      <c r="D12"/>
      <c r="E12" s="18"/>
      <c r="F12"/>
      <c r="G12" s="18"/>
    </row>
    <row r="13" spans="1:7" s="13" customFormat="1" x14ac:dyDescent="0.25">
      <c r="A13" s="18"/>
      <c r="B13"/>
      <c r="C13" s="18"/>
      <c r="D13"/>
      <c r="E13" s="18"/>
      <c r="F13"/>
      <c r="G13" s="18"/>
    </row>
    <row r="14" spans="1:7" x14ac:dyDescent="0.25">
      <c r="A14" s="18"/>
      <c r="B14"/>
      <c r="C14" s="18"/>
      <c r="D14"/>
      <c r="E14" s="18"/>
      <c r="F14"/>
    </row>
    <row r="15" spans="1:7" x14ac:dyDescent="0.25">
      <c r="A15" s="18"/>
      <c r="B15"/>
      <c r="C15" s="18"/>
      <c r="D15"/>
      <c r="E15" s="18"/>
      <c r="F15"/>
    </row>
    <row r="16" spans="1:7" s="13" customFormat="1" x14ac:dyDescent="0.25">
      <c r="A16" s="18"/>
      <c r="B16"/>
      <c r="C16" s="18"/>
      <c r="D16"/>
      <c r="E16" s="18"/>
      <c r="F16"/>
      <c r="G16" s="18"/>
    </row>
    <row r="17" spans="1:7" s="13" customFormat="1" x14ac:dyDescent="0.25">
      <c r="A17" s="18"/>
      <c r="B17"/>
      <c r="C17" s="18"/>
      <c r="D17"/>
      <c r="E17" s="18"/>
      <c r="F17"/>
      <c r="G17" s="18"/>
    </row>
    <row r="18" spans="1:7" s="13" customFormat="1" x14ac:dyDescent="0.25">
      <c r="A18" s="18"/>
      <c r="B18"/>
      <c r="C18" s="18"/>
      <c r="D18"/>
      <c r="E18" s="18"/>
      <c r="F18"/>
      <c r="G18" s="18"/>
    </row>
    <row r="19" spans="1:7" s="13" customFormat="1" x14ac:dyDescent="0.25">
      <c r="A19" s="18"/>
      <c r="B19"/>
      <c r="C19" s="18"/>
      <c r="D19"/>
      <c r="E19" s="18"/>
      <c r="F19"/>
      <c r="G19" s="18"/>
    </row>
    <row r="20" spans="1:7" s="13" customFormat="1" x14ac:dyDescent="0.25">
      <c r="A20" s="18"/>
      <c r="B20"/>
      <c r="C20" s="18"/>
      <c r="D20"/>
      <c r="E20" s="18"/>
      <c r="F20"/>
      <c r="G20" s="18"/>
    </row>
    <row r="21" spans="1:7" s="13" customFormat="1" x14ac:dyDescent="0.25">
      <c r="A21" s="18"/>
      <c r="B21"/>
      <c r="C21" s="18"/>
      <c r="D21"/>
      <c r="E21" s="18"/>
      <c r="F21"/>
      <c r="G21" s="18"/>
    </row>
    <row r="22" spans="1:7" s="13" customFormat="1" x14ac:dyDescent="0.25">
      <c r="A22" s="18"/>
      <c r="B22"/>
      <c r="C22" s="18"/>
      <c r="D22"/>
      <c r="E22" s="18"/>
      <c r="F22"/>
      <c r="G22" s="18"/>
    </row>
    <row r="23" spans="1:7" x14ac:dyDescent="0.25">
      <c r="A23" s="18"/>
      <c r="B23"/>
      <c r="C23" s="18"/>
      <c r="D23"/>
      <c r="E23" s="18"/>
      <c r="F23"/>
    </row>
    <row r="24" spans="1:7" s="13" customFormat="1" x14ac:dyDescent="0.25">
      <c r="A24" s="18"/>
      <c r="B24" s="7"/>
      <c r="C24" s="18"/>
      <c r="D24" s="7"/>
      <c r="E24" s="18"/>
      <c r="F24" s="7"/>
      <c r="G24" s="18"/>
    </row>
    <row r="25" spans="1:7" x14ac:dyDescent="0.25">
      <c r="A25" s="18"/>
      <c r="B25" s="7"/>
      <c r="C25" s="18"/>
      <c r="D25" s="7"/>
      <c r="E25" s="18"/>
      <c r="F25" s="7"/>
    </row>
    <row r="26" spans="1:7" s="13" customFormat="1" x14ac:dyDescent="0.25">
      <c r="A26" s="18"/>
      <c r="B26" s="7"/>
      <c r="C26" s="18"/>
      <c r="D26" s="7"/>
      <c r="E26" s="18"/>
      <c r="F26" s="7"/>
      <c r="G26" s="18"/>
    </row>
    <row r="27" spans="1:7" s="13" customFormat="1" x14ac:dyDescent="0.25">
      <c r="A27" s="18"/>
      <c r="B27" s="7"/>
      <c r="C27" s="18"/>
      <c r="D27" s="7"/>
      <c r="E27" s="18"/>
      <c r="F27" s="7"/>
      <c r="G27" s="18"/>
    </row>
    <row r="28" spans="1:7" x14ac:dyDescent="0.25">
      <c r="A28" s="18"/>
      <c r="B28" s="7"/>
      <c r="C28" s="18"/>
      <c r="D28" s="7"/>
      <c r="E28" s="18"/>
      <c r="F28" s="7"/>
    </row>
    <row r="29" spans="1:7" x14ac:dyDescent="0.25">
      <c r="A29" s="18"/>
      <c r="B29" s="7"/>
      <c r="C29" s="18"/>
      <c r="D29" s="7"/>
      <c r="E29" s="18"/>
      <c r="F29" s="7"/>
    </row>
    <row r="30" spans="1:7" s="13" customFormat="1" x14ac:dyDescent="0.25">
      <c r="A30" s="18"/>
      <c r="B30" s="7"/>
      <c r="C30" s="18"/>
      <c r="D30" s="7"/>
      <c r="E30" s="18"/>
      <c r="F30" s="7"/>
      <c r="G30" s="18"/>
    </row>
    <row r="31" spans="1:7" s="13" customFormat="1" x14ac:dyDescent="0.25">
      <c r="A31" s="18"/>
      <c r="B31" s="7"/>
      <c r="C31" s="18"/>
      <c r="D31" s="7"/>
      <c r="E31" s="18"/>
      <c r="F31" s="7"/>
      <c r="G31" s="18"/>
    </row>
    <row r="32" spans="1:7" s="13" customFormat="1" x14ac:dyDescent="0.25">
      <c r="A32" s="18"/>
      <c r="B32" s="7"/>
      <c r="C32" s="18"/>
      <c r="D32" s="7"/>
      <c r="E32" s="18"/>
      <c r="F32" s="7"/>
      <c r="G32" s="18"/>
    </row>
    <row r="33" spans="1:7" x14ac:dyDescent="0.25">
      <c r="A33" s="18"/>
      <c r="B33" s="7"/>
      <c r="C33" s="18"/>
      <c r="D33" s="7"/>
      <c r="E33" s="18"/>
      <c r="F33" s="7"/>
    </row>
    <row r="34" spans="1:7" x14ac:dyDescent="0.25">
      <c r="A34" s="18"/>
      <c r="B34" s="7"/>
      <c r="C34" s="18"/>
      <c r="D34" s="7"/>
      <c r="E34" s="18"/>
      <c r="F34" s="7"/>
    </row>
    <row r="35" spans="1:7" s="13" customFormat="1" x14ac:dyDescent="0.25">
      <c r="A35" s="18"/>
      <c r="B35" s="7"/>
      <c r="C35" s="18"/>
      <c r="D35" s="7"/>
      <c r="E35" s="18"/>
      <c r="F35" s="7"/>
      <c r="G35" s="18"/>
    </row>
    <row r="36" spans="1:7" s="13" customFormat="1" x14ac:dyDescent="0.25">
      <c r="A36" s="18"/>
      <c r="B36" s="7"/>
      <c r="C36" s="18"/>
      <c r="D36" s="7"/>
      <c r="E36" s="18"/>
      <c r="F36" s="7"/>
      <c r="G36" s="18"/>
    </row>
    <row r="37" spans="1:7" s="13" customFormat="1" x14ac:dyDescent="0.25">
      <c r="A37" s="18"/>
      <c r="B37" s="7"/>
      <c r="C37" s="18"/>
      <c r="D37" s="7"/>
      <c r="E37" s="18"/>
      <c r="F37" s="7"/>
      <c r="G37" s="18"/>
    </row>
    <row r="38" spans="1:7" s="13" customFormat="1" x14ac:dyDescent="0.25">
      <c r="A38" s="18"/>
      <c r="B38" s="7"/>
      <c r="C38" s="18"/>
      <c r="D38" s="7"/>
      <c r="E38" s="18"/>
      <c r="F38" s="7"/>
      <c r="G38" s="18"/>
    </row>
    <row r="39" spans="1:7" s="13" customFormat="1" x14ac:dyDescent="0.25">
      <c r="A39" s="18"/>
      <c r="B39" s="7"/>
      <c r="C39" s="18"/>
      <c r="D39" s="7"/>
      <c r="E39" s="18"/>
      <c r="F39" s="7"/>
      <c r="G39" s="18"/>
    </row>
    <row r="40" spans="1:7" x14ac:dyDescent="0.25">
      <c r="A40" s="18"/>
      <c r="B40" s="7"/>
      <c r="C40" s="18"/>
      <c r="D40" s="7"/>
      <c r="E40" s="18"/>
      <c r="F40" s="7"/>
    </row>
    <row r="41" spans="1:7" x14ac:dyDescent="0.25">
      <c r="A41" s="18"/>
      <c r="B41"/>
      <c r="C41" s="18"/>
      <c r="D41"/>
      <c r="E41" s="18"/>
      <c r="F41"/>
    </row>
    <row r="42" spans="1:7" x14ac:dyDescent="0.25">
      <c r="A42" s="18"/>
      <c r="B42"/>
      <c r="C42" s="18"/>
      <c r="D42"/>
      <c r="E42" s="18"/>
      <c r="F42"/>
    </row>
    <row r="43" spans="1:7" s="13" customFormat="1" x14ac:dyDescent="0.25">
      <c r="A43" s="18"/>
      <c r="B43"/>
      <c r="C43" s="18"/>
      <c r="D43"/>
      <c r="E43" s="18"/>
      <c r="F43"/>
      <c r="G43" s="18"/>
    </row>
    <row r="44" spans="1:7" s="13" customFormat="1" x14ac:dyDescent="0.25">
      <c r="A44" s="18"/>
      <c r="B44"/>
      <c r="C44" s="18"/>
      <c r="D44"/>
      <c r="E44" s="18"/>
      <c r="F44"/>
      <c r="G44" s="18"/>
    </row>
    <row r="45" spans="1:7" x14ac:dyDescent="0.25">
      <c r="A45" s="18"/>
      <c r="B45"/>
      <c r="C45" s="18"/>
      <c r="D45"/>
      <c r="E45" s="18"/>
      <c r="F45"/>
    </row>
    <row r="46" spans="1:7" s="13" customFormat="1" x14ac:dyDescent="0.25">
      <c r="A46" s="18"/>
      <c r="B46"/>
      <c r="C46" s="18"/>
      <c r="D46"/>
      <c r="E46" s="18"/>
      <c r="F46"/>
      <c r="G46" s="18"/>
    </row>
    <row r="47" spans="1:7" s="13" customFormat="1" x14ac:dyDescent="0.25">
      <c r="A47" s="18"/>
      <c r="B47"/>
      <c r="C47" s="18"/>
      <c r="D47"/>
      <c r="E47" s="18"/>
      <c r="F47"/>
      <c r="G47" s="18"/>
    </row>
    <row r="48" spans="1:7" x14ac:dyDescent="0.25">
      <c r="A48" s="18"/>
      <c r="B48"/>
      <c r="C48" s="18"/>
      <c r="D48"/>
      <c r="E48" s="18"/>
      <c r="F48"/>
    </row>
    <row r="49" spans="1:7" s="13" customFormat="1" x14ac:dyDescent="0.25">
      <c r="A49" s="18"/>
      <c r="B49"/>
      <c r="C49" s="18"/>
      <c r="D49"/>
      <c r="E49" s="18"/>
      <c r="F49"/>
      <c r="G49" s="18"/>
    </row>
    <row r="50" spans="1:7" x14ac:dyDescent="0.25">
      <c r="A50" s="18"/>
      <c r="B50"/>
      <c r="C50" s="18"/>
      <c r="D50"/>
      <c r="E50" s="18"/>
      <c r="F50"/>
    </row>
    <row r="51" spans="1:7" s="13" customFormat="1" x14ac:dyDescent="0.25">
      <c r="A51" s="18"/>
      <c r="B51"/>
      <c r="C51" s="18"/>
      <c r="D51"/>
      <c r="E51" s="18"/>
      <c r="F51"/>
      <c r="G51" s="18"/>
    </row>
    <row r="52" spans="1:7" s="13" customFormat="1" x14ac:dyDescent="0.25">
      <c r="A52" s="18"/>
      <c r="B52"/>
      <c r="C52" s="18"/>
      <c r="D52"/>
      <c r="E52" s="18"/>
      <c r="F52"/>
      <c r="G52" s="18"/>
    </row>
    <row r="53" spans="1:7" x14ac:dyDescent="0.25">
      <c r="A53" s="18"/>
      <c r="B53"/>
      <c r="C53" s="18"/>
      <c r="D53"/>
      <c r="E53" s="18"/>
      <c r="F53"/>
    </row>
    <row r="54" spans="1:7" s="13" customFormat="1" x14ac:dyDescent="0.25">
      <c r="A54" s="18"/>
      <c r="B54"/>
      <c r="C54" s="18"/>
      <c r="D54"/>
      <c r="E54" s="18"/>
      <c r="F54"/>
      <c r="G54" s="18"/>
    </row>
    <row r="55" spans="1:7" s="13" customFormat="1" x14ac:dyDescent="0.25">
      <c r="A55" s="18"/>
      <c r="B55"/>
      <c r="C55" s="18"/>
      <c r="D55"/>
      <c r="E55" s="18"/>
      <c r="F55"/>
      <c r="G55" s="18"/>
    </row>
    <row r="56" spans="1:7" s="13" customFormat="1" x14ac:dyDescent="0.25">
      <c r="A56" s="18"/>
      <c r="B56"/>
      <c r="C56" s="18"/>
      <c r="D56"/>
      <c r="E56" s="18"/>
      <c r="F56"/>
      <c r="G56" s="18"/>
    </row>
    <row r="57" spans="1:7" s="13" customFormat="1" x14ac:dyDescent="0.25">
      <c r="A57" s="18"/>
      <c r="B57"/>
      <c r="C57" s="18"/>
      <c r="D57"/>
      <c r="E57" s="18"/>
      <c r="F57"/>
      <c r="G57" s="18"/>
    </row>
    <row r="58" spans="1:7" s="13" customFormat="1" x14ac:dyDescent="0.25">
      <c r="A58" s="18"/>
      <c r="B58"/>
      <c r="C58" s="18"/>
      <c r="D58"/>
      <c r="E58" s="18"/>
      <c r="F58"/>
      <c r="G58" s="18"/>
    </row>
    <row r="59" spans="1:7" s="13" customFormat="1" x14ac:dyDescent="0.25">
      <c r="A59" s="18"/>
      <c r="B59"/>
      <c r="C59" s="18"/>
      <c r="D59"/>
      <c r="E59" s="18"/>
      <c r="F59"/>
      <c r="G59" s="18"/>
    </row>
    <row r="60" spans="1:7" s="13" customFormat="1" x14ac:dyDescent="0.25">
      <c r="A60" s="18"/>
      <c r="B60"/>
      <c r="C60" s="18"/>
      <c r="D60"/>
      <c r="E60" s="18"/>
      <c r="F60"/>
      <c r="G60" s="18"/>
    </row>
    <row r="61" spans="1:7" s="13" customFormat="1" x14ac:dyDescent="0.25">
      <c r="A61" s="18"/>
      <c r="B61"/>
      <c r="C61" s="18"/>
      <c r="D61"/>
      <c r="E61" s="18"/>
      <c r="F61"/>
      <c r="G61" s="18"/>
    </row>
    <row r="62" spans="1:7" s="13" customFormat="1" x14ac:dyDescent="0.25">
      <c r="A62" s="18"/>
      <c r="B62"/>
      <c r="C62" s="18"/>
      <c r="D62"/>
      <c r="E62" s="18"/>
      <c r="F62"/>
      <c r="G62" s="18"/>
    </row>
    <row r="63" spans="1:7" x14ac:dyDescent="0.25">
      <c r="A63" s="18"/>
      <c r="B63"/>
      <c r="C63" s="18"/>
      <c r="D63"/>
      <c r="E63" s="18"/>
      <c r="F63"/>
    </row>
    <row r="64" spans="1:7" s="13" customFormat="1" x14ac:dyDescent="0.25">
      <c r="A64" s="18"/>
      <c r="B64"/>
      <c r="C64" s="18"/>
      <c r="D64"/>
      <c r="E64" s="18"/>
      <c r="F64"/>
      <c r="G64" s="18"/>
    </row>
    <row r="65" spans="1:7" s="13" customFormat="1" x14ac:dyDescent="0.25">
      <c r="A65" s="18"/>
      <c r="B65"/>
      <c r="C65" s="18"/>
      <c r="D65"/>
      <c r="E65" s="18"/>
      <c r="F65"/>
      <c r="G65" s="18"/>
    </row>
    <row r="66" spans="1:7" x14ac:dyDescent="0.25">
      <c r="A66" s="18"/>
      <c r="B66"/>
      <c r="C66" s="18"/>
      <c r="D66"/>
      <c r="E66" s="18"/>
      <c r="F66"/>
    </row>
    <row r="67" spans="1:7" x14ac:dyDescent="0.25">
      <c r="A67" s="18"/>
      <c r="B67"/>
      <c r="C67" s="18"/>
      <c r="D67"/>
      <c r="E67" s="18"/>
      <c r="F67"/>
    </row>
    <row r="68" spans="1:7" x14ac:dyDescent="0.25">
      <c r="A68" s="18"/>
      <c r="B68"/>
      <c r="C68" s="18"/>
      <c r="D68"/>
      <c r="E68" s="18"/>
      <c r="F68"/>
    </row>
    <row r="69" spans="1:7" s="13" customFormat="1" x14ac:dyDescent="0.25">
      <c r="A69" s="18"/>
      <c r="B69"/>
      <c r="C69" s="18"/>
      <c r="D69"/>
      <c r="E69" s="18"/>
      <c r="F69"/>
      <c r="G69" s="18"/>
    </row>
    <row r="70" spans="1:7" x14ac:dyDescent="0.25">
      <c r="A70" s="18"/>
      <c r="B70"/>
      <c r="C70" s="18"/>
      <c r="D70"/>
      <c r="E70" s="18"/>
      <c r="F70"/>
    </row>
    <row r="71" spans="1:7" s="13" customFormat="1" x14ac:dyDescent="0.25">
      <c r="A71" s="18"/>
      <c r="B71"/>
      <c r="C71" s="18"/>
      <c r="D71"/>
      <c r="E71" s="18"/>
      <c r="F71"/>
      <c r="G71" s="18"/>
    </row>
    <row r="72" spans="1:7" s="13" customFormat="1" x14ac:dyDescent="0.25">
      <c r="A72" s="18"/>
      <c r="B72"/>
      <c r="C72" s="18"/>
      <c r="D72"/>
      <c r="E72" s="18"/>
      <c r="F72"/>
      <c r="G72" s="18"/>
    </row>
    <row r="73" spans="1:7" x14ac:dyDescent="0.25">
      <c r="A73" s="18"/>
      <c r="B73"/>
      <c r="C73" s="18"/>
      <c r="D73"/>
      <c r="E73" s="18"/>
      <c r="F73"/>
    </row>
    <row r="74" spans="1:7" x14ac:dyDescent="0.25">
      <c r="A74" s="18"/>
      <c r="B74"/>
      <c r="C74" s="18"/>
      <c r="D74"/>
      <c r="E74" s="18"/>
      <c r="F74"/>
    </row>
    <row r="75" spans="1:7" s="13" customFormat="1" x14ac:dyDescent="0.25">
      <c r="A75" s="18"/>
      <c r="B75"/>
      <c r="C75" s="18"/>
      <c r="D75"/>
      <c r="E75" s="18"/>
      <c r="F75"/>
      <c r="G75" s="18"/>
    </row>
    <row r="76" spans="1:7" s="13" customFormat="1" x14ac:dyDescent="0.25">
      <c r="A76" s="18"/>
      <c r="B76"/>
      <c r="C76" s="18"/>
      <c r="D76"/>
      <c r="E76" s="18"/>
      <c r="F76"/>
      <c r="G76" s="18"/>
    </row>
    <row r="77" spans="1:7" s="13" customFormat="1" x14ac:dyDescent="0.25">
      <c r="A77" s="18"/>
      <c r="B77"/>
      <c r="C77" s="18"/>
      <c r="D77"/>
      <c r="E77" s="18"/>
      <c r="F77"/>
      <c r="G77" s="18"/>
    </row>
    <row r="78" spans="1:7" s="13" customFormat="1" x14ac:dyDescent="0.25">
      <c r="A78" s="18"/>
      <c r="B78"/>
      <c r="C78" s="18"/>
      <c r="D78"/>
      <c r="E78" s="18"/>
      <c r="F78"/>
      <c r="G78" s="18"/>
    </row>
    <row r="79" spans="1:7" s="13" customFormat="1" x14ac:dyDescent="0.25">
      <c r="A79" s="18"/>
      <c r="B79"/>
      <c r="C79" s="18"/>
      <c r="D79"/>
      <c r="E79" s="18"/>
      <c r="F79"/>
      <c r="G79" s="18"/>
    </row>
    <row r="80" spans="1:7" s="13" customFormat="1" x14ac:dyDescent="0.25">
      <c r="A80" s="18"/>
      <c r="B80"/>
      <c r="C80" s="18"/>
      <c r="D80"/>
      <c r="E80" s="18"/>
      <c r="F80"/>
      <c r="G80" s="18"/>
    </row>
    <row r="81" spans="1:7" x14ac:dyDescent="0.25">
      <c r="A81" s="18"/>
      <c r="B81"/>
      <c r="C81" s="18"/>
      <c r="D81"/>
      <c r="E81" s="18"/>
      <c r="F81"/>
    </row>
    <row r="82" spans="1:7" s="13" customFormat="1" x14ac:dyDescent="0.25">
      <c r="A82" s="18"/>
      <c r="B82"/>
      <c r="C82" s="18"/>
      <c r="D82"/>
      <c r="E82" s="18"/>
      <c r="F82"/>
      <c r="G82" s="18"/>
    </row>
    <row r="83" spans="1:7" s="13" customFormat="1" x14ac:dyDescent="0.25">
      <c r="A83" s="18"/>
      <c r="B83"/>
      <c r="C83" s="18"/>
      <c r="D83"/>
      <c r="E83" s="18"/>
      <c r="F83"/>
      <c r="G83" s="18"/>
    </row>
    <row r="84" spans="1:7" s="13" customFormat="1" x14ac:dyDescent="0.25">
      <c r="A84" s="18"/>
      <c r="B84"/>
      <c r="C84" s="18"/>
      <c r="D84"/>
      <c r="E84" s="18"/>
      <c r="F84"/>
      <c r="G84" s="18"/>
    </row>
    <row r="85" spans="1:7" s="13" customFormat="1" x14ac:dyDescent="0.25">
      <c r="A85" s="18"/>
      <c r="B85"/>
      <c r="C85" s="18"/>
      <c r="D85"/>
      <c r="E85" s="18"/>
      <c r="F85"/>
      <c r="G85" s="18"/>
    </row>
    <row r="86" spans="1:7" s="13" customFormat="1" x14ac:dyDescent="0.25">
      <c r="A86" s="18"/>
      <c r="B86"/>
      <c r="C86" s="18"/>
      <c r="D86"/>
      <c r="E86" s="18"/>
      <c r="F86"/>
      <c r="G86" s="18"/>
    </row>
    <row r="87" spans="1:7" s="13" customFormat="1" x14ac:dyDescent="0.25">
      <c r="A87" s="18"/>
      <c r="B87"/>
      <c r="C87" s="18"/>
      <c r="D87"/>
      <c r="E87" s="18"/>
      <c r="F87"/>
      <c r="G87" s="18"/>
    </row>
    <row r="88" spans="1:7" x14ac:dyDescent="0.25">
      <c r="A88" s="18"/>
      <c r="B88"/>
      <c r="C88" s="18"/>
      <c r="D88"/>
      <c r="E88" s="18"/>
      <c r="F88"/>
    </row>
    <row r="89" spans="1:7" s="13" customFormat="1" x14ac:dyDescent="0.25">
      <c r="A89" s="18"/>
      <c r="B89"/>
      <c r="C89" s="18"/>
      <c r="D89"/>
      <c r="E89" s="18"/>
      <c r="F89"/>
      <c r="G89" s="18"/>
    </row>
    <row r="90" spans="1:7" s="13" customFormat="1" x14ac:dyDescent="0.25">
      <c r="A90" s="18"/>
      <c r="B90"/>
      <c r="C90" s="18"/>
      <c r="D90"/>
      <c r="E90" s="18"/>
      <c r="F90"/>
      <c r="G90" s="18"/>
    </row>
    <row r="91" spans="1:7" x14ac:dyDescent="0.25">
      <c r="A91" s="18"/>
      <c r="B91"/>
      <c r="C91" s="18"/>
      <c r="D91"/>
      <c r="E91" s="18"/>
      <c r="F91"/>
    </row>
    <row r="92" spans="1:7" s="13" customFormat="1" x14ac:dyDescent="0.25">
      <c r="A92" s="18"/>
      <c r="B92"/>
      <c r="C92" s="18"/>
      <c r="D92"/>
      <c r="E92" s="18"/>
      <c r="F92"/>
      <c r="G92" s="18"/>
    </row>
    <row r="93" spans="1:7" s="13" customFormat="1" x14ac:dyDescent="0.25">
      <c r="A93" s="18"/>
      <c r="B93"/>
      <c r="C93" s="18"/>
      <c r="D93"/>
      <c r="E93" s="18"/>
      <c r="F93"/>
      <c r="G93" s="18"/>
    </row>
    <row r="94" spans="1:7" x14ac:dyDescent="0.25">
      <c r="A94" s="18"/>
      <c r="B94"/>
      <c r="C94" s="18"/>
      <c r="D94"/>
      <c r="E94" s="18"/>
      <c r="F94"/>
    </row>
    <row r="95" spans="1:7" s="13" customFormat="1" x14ac:dyDescent="0.25">
      <c r="A95" s="19"/>
      <c r="B95" s="7"/>
      <c r="C95" s="19"/>
      <c r="D95" s="7"/>
      <c r="E95" s="19"/>
      <c r="F95" s="7"/>
      <c r="G95" s="18"/>
    </row>
    <row r="96" spans="1:7" x14ac:dyDescent="0.25">
      <c r="B96" s="7"/>
      <c r="D96" s="7"/>
      <c r="F96" s="7"/>
    </row>
    <row r="97" spans="1:7" s="13" customFormat="1" x14ac:dyDescent="0.25">
      <c r="A97" s="19"/>
      <c r="B97" s="7"/>
      <c r="C97" s="19"/>
      <c r="D97" s="7"/>
      <c r="E97" s="19"/>
      <c r="F97" s="7"/>
      <c r="G97" s="18"/>
    </row>
    <row r="98" spans="1:7" s="13" customFormat="1" x14ac:dyDescent="0.25">
      <c r="A98" s="19"/>
      <c r="B98" s="7"/>
      <c r="C98" s="19"/>
      <c r="D98" s="7"/>
      <c r="E98" s="19"/>
      <c r="F98" s="7"/>
      <c r="G98" s="18"/>
    </row>
    <row r="99" spans="1:7" x14ac:dyDescent="0.25">
      <c r="B99" s="7"/>
      <c r="D99" s="7"/>
      <c r="F99" s="7"/>
    </row>
    <row r="100" spans="1:7" s="13" customFormat="1" x14ac:dyDescent="0.25">
      <c r="A100" s="19"/>
      <c r="B100" s="7"/>
      <c r="C100" s="19"/>
      <c r="D100" s="7"/>
      <c r="E100" s="19"/>
      <c r="F100" s="7"/>
      <c r="G100" s="18"/>
    </row>
    <row r="101" spans="1:7" s="13" customFormat="1" x14ac:dyDescent="0.25">
      <c r="A101" s="19"/>
      <c r="B101" s="7"/>
      <c r="C101" s="19"/>
      <c r="D101" s="7"/>
      <c r="E101" s="19"/>
      <c r="F101" s="7"/>
      <c r="G101" s="18"/>
    </row>
    <row r="102" spans="1:7" s="13" customFormat="1" x14ac:dyDescent="0.25">
      <c r="A102" s="19"/>
      <c r="B102" s="7"/>
      <c r="C102" s="19"/>
      <c r="D102" s="7"/>
      <c r="E102" s="19"/>
      <c r="F102" s="7"/>
      <c r="G102" s="18"/>
    </row>
    <row r="103" spans="1:7" s="13" customFormat="1" x14ac:dyDescent="0.25">
      <c r="A103" s="19"/>
      <c r="B103" s="7"/>
      <c r="C103" s="19"/>
      <c r="D103" s="7"/>
      <c r="E103" s="19"/>
      <c r="F103" s="7"/>
      <c r="G103" s="18"/>
    </row>
    <row r="104" spans="1:7" x14ac:dyDescent="0.25">
      <c r="B104" s="7"/>
      <c r="D104" s="7"/>
      <c r="F104" s="7"/>
    </row>
    <row r="105" spans="1:7" x14ac:dyDescent="0.25">
      <c r="B105" s="7"/>
      <c r="D105" s="7"/>
      <c r="F105" s="7"/>
    </row>
    <row r="106" spans="1:7" x14ac:dyDescent="0.25">
      <c r="B106" s="7"/>
      <c r="D106" s="7"/>
      <c r="F106" s="7"/>
    </row>
    <row r="107" spans="1:7" x14ac:dyDescent="0.25">
      <c r="B107" s="7"/>
      <c r="D107" s="7"/>
      <c r="F107" s="7"/>
    </row>
    <row r="108" spans="1:7" x14ac:dyDescent="0.25">
      <c r="B108" s="7"/>
      <c r="D108" s="7"/>
      <c r="F108" s="7"/>
    </row>
    <row r="109" spans="1:7" s="13" customFormat="1" x14ac:dyDescent="0.25">
      <c r="A109" s="19"/>
      <c r="B109" s="7"/>
      <c r="C109" s="19"/>
      <c r="D109" s="7"/>
      <c r="E109" s="19"/>
      <c r="F109" s="7"/>
      <c r="G109" s="18"/>
    </row>
    <row r="110" spans="1:7" x14ac:dyDescent="0.25">
      <c r="B110" s="7"/>
      <c r="D110" s="7"/>
      <c r="F110" s="7"/>
    </row>
    <row r="111" spans="1:7" s="13" customFormat="1" x14ac:dyDescent="0.25">
      <c r="A111" s="19"/>
      <c r="B111" s="7"/>
      <c r="C111" s="19"/>
      <c r="D111" s="7"/>
      <c r="E111" s="19"/>
      <c r="F111" s="7"/>
      <c r="G111" s="18"/>
    </row>
    <row r="112" spans="1:7" x14ac:dyDescent="0.25">
      <c r="B112" s="7"/>
      <c r="D112" s="7"/>
      <c r="F112" s="7"/>
    </row>
    <row r="113" spans="1:7" x14ac:dyDescent="0.25">
      <c r="B113" s="7"/>
      <c r="D113" s="7"/>
      <c r="F113" s="7"/>
    </row>
    <row r="114" spans="1:7" s="13" customFormat="1" x14ac:dyDescent="0.25">
      <c r="A114" s="19"/>
      <c r="B114" s="7"/>
      <c r="C114" s="19"/>
      <c r="D114" s="7"/>
      <c r="E114" s="19"/>
      <c r="F114" s="7"/>
      <c r="G114" s="18"/>
    </row>
    <row r="115" spans="1:7" s="13" customFormat="1" x14ac:dyDescent="0.25">
      <c r="A115" s="19"/>
      <c r="B115" s="7"/>
      <c r="C115" s="19"/>
      <c r="D115" s="7"/>
      <c r="E115" s="19"/>
      <c r="F115" s="7"/>
      <c r="G115" s="18"/>
    </row>
    <row r="116" spans="1:7" s="13" customFormat="1" x14ac:dyDescent="0.25">
      <c r="A116" s="19"/>
      <c r="B116" s="7"/>
      <c r="C116" s="19"/>
      <c r="D116" s="7"/>
      <c r="E116" s="19"/>
      <c r="F116" s="7"/>
      <c r="G116" s="18"/>
    </row>
    <row r="118" spans="1:7" s="13" customFormat="1" x14ac:dyDescent="0.25">
      <c r="A118" s="18"/>
      <c r="C118" s="18"/>
      <c r="E118" s="18"/>
      <c r="G118" s="18"/>
    </row>
    <row r="119" spans="1:7" s="13" customFormat="1" x14ac:dyDescent="0.25">
      <c r="A119" s="18"/>
      <c r="C119" s="18"/>
      <c r="E119" s="18"/>
      <c r="G119" s="18"/>
    </row>
    <row r="120" spans="1:7" s="13" customFormat="1" x14ac:dyDescent="0.25">
      <c r="A120" s="18"/>
      <c r="C120" s="18"/>
      <c r="E120" s="18"/>
      <c r="G120" s="18"/>
    </row>
    <row r="122" spans="1:7" s="13" customFormat="1" x14ac:dyDescent="0.25">
      <c r="A122" s="18"/>
      <c r="C122" s="18"/>
      <c r="E122" s="18"/>
      <c r="G122" s="18"/>
    </row>
    <row r="126" spans="1:7" s="13" customFormat="1" x14ac:dyDescent="0.25">
      <c r="A126" s="18"/>
      <c r="C126" s="18"/>
      <c r="E126" s="18"/>
      <c r="G126" s="18"/>
    </row>
    <row r="127" spans="1:7" s="13" customFormat="1" x14ac:dyDescent="0.25">
      <c r="A127" s="18"/>
      <c r="C127" s="18"/>
      <c r="E127" s="18"/>
      <c r="G127" s="18"/>
    </row>
    <row r="129" spans="1:7" s="13" customFormat="1" x14ac:dyDescent="0.25">
      <c r="A129" s="18"/>
      <c r="C129" s="18"/>
      <c r="E129" s="18"/>
      <c r="G129" s="18"/>
    </row>
    <row r="130" spans="1:7" s="13" customFormat="1" x14ac:dyDescent="0.25">
      <c r="A130" s="18"/>
      <c r="C130" s="18"/>
      <c r="E130" s="18"/>
      <c r="G130" s="18"/>
    </row>
    <row r="131" spans="1:7" s="13" customFormat="1" x14ac:dyDescent="0.25">
      <c r="A131" s="18"/>
      <c r="C131" s="18"/>
      <c r="E131" s="18"/>
      <c r="G131" s="18"/>
    </row>
    <row r="132" spans="1:7" s="13" customFormat="1" x14ac:dyDescent="0.25">
      <c r="A132" s="18"/>
      <c r="C132" s="18"/>
      <c r="E132" s="18"/>
      <c r="G132" s="18"/>
    </row>
    <row r="134" spans="1:7" s="13" customFormat="1" x14ac:dyDescent="0.25">
      <c r="A134" s="18"/>
      <c r="C134" s="18"/>
      <c r="E134" s="18"/>
      <c r="G134" s="18"/>
    </row>
    <row r="135" spans="1:7" s="13" customFormat="1" x14ac:dyDescent="0.25">
      <c r="A135" s="18"/>
      <c r="C135" s="18"/>
      <c r="E135" s="18"/>
      <c r="G135" s="18"/>
    </row>
    <row r="136" spans="1:7" s="13" customFormat="1" x14ac:dyDescent="0.25">
      <c r="A136" s="18"/>
      <c r="C136" s="18"/>
      <c r="E136" s="18"/>
      <c r="G136" s="18"/>
    </row>
    <row r="139" spans="1:7" s="13" customFormat="1" x14ac:dyDescent="0.25">
      <c r="A139" s="18"/>
      <c r="C139" s="18"/>
      <c r="E139" s="18"/>
      <c r="G139" s="18"/>
    </row>
    <row r="148" spans="1:7" s="13" customFormat="1" x14ac:dyDescent="0.25">
      <c r="A148" s="18"/>
      <c r="C148" s="18"/>
      <c r="E148" s="18"/>
      <c r="G148" s="18"/>
    </row>
    <row r="151" spans="1:7" s="13" customFormat="1" x14ac:dyDescent="0.25">
      <c r="A151" s="18"/>
      <c r="C151" s="18"/>
      <c r="E151" s="18"/>
      <c r="G151" s="18"/>
    </row>
    <row r="152" spans="1:7" s="13" customFormat="1" x14ac:dyDescent="0.25">
      <c r="A152" s="18"/>
      <c r="C152" s="18"/>
      <c r="E152" s="18"/>
      <c r="G152" s="18"/>
    </row>
    <row r="153" spans="1:7" s="13" customFormat="1" x14ac:dyDescent="0.25">
      <c r="A153" s="18"/>
      <c r="C153" s="18"/>
      <c r="E153" s="18"/>
      <c r="G153" s="18"/>
    </row>
    <row r="158" spans="1:7" s="13" customFormat="1" x14ac:dyDescent="0.25">
      <c r="A158" s="18"/>
      <c r="C158" s="18"/>
      <c r="E158" s="18"/>
      <c r="G158" s="18"/>
    </row>
    <row r="159" spans="1:7" s="13" customFormat="1" x14ac:dyDescent="0.25">
      <c r="A159" s="18"/>
      <c r="C159" s="18"/>
      <c r="E159" s="18"/>
      <c r="G159" s="18"/>
    </row>
    <row r="162" spans="1:7" s="13" customFormat="1" x14ac:dyDescent="0.25">
      <c r="A162" s="18"/>
      <c r="C162" s="18"/>
      <c r="E162" s="18"/>
      <c r="G162" s="18"/>
    </row>
    <row r="164" spans="1:7" s="13" customFormat="1" x14ac:dyDescent="0.25">
      <c r="A164" s="18"/>
      <c r="C164" s="18"/>
      <c r="E164" s="18"/>
      <c r="G164" s="18"/>
    </row>
    <row r="177" spans="1:7" s="13" customFormat="1" x14ac:dyDescent="0.25">
      <c r="A177" s="18"/>
      <c r="C177" s="18"/>
      <c r="E177" s="18"/>
      <c r="G177" s="18"/>
    </row>
    <row r="178" spans="1:7" s="13" customFormat="1" x14ac:dyDescent="0.25">
      <c r="A178" s="18"/>
      <c r="C178" s="18"/>
      <c r="E178" s="18"/>
      <c r="G178" s="18"/>
    </row>
    <row r="179" spans="1:7" s="13" customFormat="1" x14ac:dyDescent="0.25">
      <c r="A179" s="18"/>
      <c r="C179" s="18"/>
      <c r="E179" s="18"/>
      <c r="G179" s="18"/>
    </row>
    <row r="182" spans="1:7" s="13" customFormat="1" x14ac:dyDescent="0.25">
      <c r="A182" s="18"/>
      <c r="C182" s="18"/>
      <c r="E182" s="18"/>
      <c r="G182" s="18"/>
    </row>
    <row r="185" spans="1:7" s="13" customFormat="1" x14ac:dyDescent="0.25">
      <c r="A185" s="18"/>
      <c r="C185" s="18"/>
      <c r="E185" s="18"/>
      <c r="G185" s="18"/>
    </row>
    <row r="188" spans="1:7" s="13" customFormat="1" x14ac:dyDescent="0.25">
      <c r="A188" s="18"/>
      <c r="C188" s="18"/>
      <c r="E188" s="18"/>
      <c r="G188" s="18"/>
    </row>
    <row r="190" spans="1:7" s="13" customFormat="1" x14ac:dyDescent="0.25">
      <c r="A190" s="18"/>
      <c r="C190" s="18"/>
      <c r="E190" s="18"/>
      <c r="G190" s="18"/>
    </row>
    <row r="192" spans="1:7" s="13" customFormat="1" x14ac:dyDescent="0.25">
      <c r="A192" s="18"/>
      <c r="C192" s="18"/>
      <c r="E192" s="18"/>
      <c r="G192" s="18"/>
    </row>
    <row r="193" spans="1:7" s="13" customFormat="1" x14ac:dyDescent="0.25">
      <c r="A193" s="18"/>
      <c r="C193" s="18"/>
      <c r="E193" s="18"/>
      <c r="G193" s="18"/>
    </row>
    <row r="195" spans="1:7" s="13" customFormat="1" x14ac:dyDescent="0.25">
      <c r="A195" s="18"/>
      <c r="C195" s="18"/>
      <c r="E195" s="18"/>
      <c r="G195" s="18"/>
    </row>
    <row r="197" spans="1:7" s="13" customFormat="1" x14ac:dyDescent="0.25">
      <c r="A197" s="18"/>
      <c r="C197" s="18"/>
      <c r="E197" s="18"/>
      <c r="G197" s="18"/>
    </row>
    <row r="199" spans="1:7" s="13" customFormat="1" x14ac:dyDescent="0.25">
      <c r="A199" s="18"/>
      <c r="C199" s="18"/>
      <c r="E199" s="18"/>
      <c r="G199" s="18"/>
    </row>
    <row r="203" spans="1:7" s="13" customFormat="1" x14ac:dyDescent="0.25">
      <c r="A203" s="18"/>
      <c r="C203" s="18"/>
      <c r="E203" s="18"/>
      <c r="G203" s="18"/>
    </row>
    <row r="204" spans="1:7" s="13" customFormat="1" x14ac:dyDescent="0.25">
      <c r="A204" s="18"/>
      <c r="C204" s="18"/>
      <c r="E204" s="18"/>
      <c r="G204" s="18"/>
    </row>
    <row r="205" spans="1:7" s="13" customFormat="1" x14ac:dyDescent="0.25">
      <c r="A205" s="18"/>
      <c r="C205" s="18"/>
      <c r="E205" s="18"/>
      <c r="G205" s="18"/>
    </row>
    <row r="206" spans="1:7" s="13" customFormat="1" x14ac:dyDescent="0.25">
      <c r="A206" s="18"/>
      <c r="C206" s="18"/>
      <c r="E206" s="18"/>
      <c r="G206" s="18"/>
    </row>
    <row r="207" spans="1:7" s="13" customFormat="1" x14ac:dyDescent="0.25">
      <c r="A207" s="18"/>
      <c r="C207" s="18"/>
      <c r="E207" s="18"/>
      <c r="G207" s="18"/>
    </row>
    <row r="209" spans="1:7" s="13" customFormat="1" x14ac:dyDescent="0.25">
      <c r="A209" s="18"/>
      <c r="C209" s="18"/>
      <c r="E209" s="18"/>
      <c r="G209" s="18"/>
    </row>
    <row r="211" spans="1:7" s="13" customFormat="1" x14ac:dyDescent="0.25">
      <c r="A211" s="18"/>
      <c r="C211" s="18"/>
      <c r="E211" s="18"/>
      <c r="G211" s="18"/>
    </row>
    <row r="212" spans="1:7" s="13" customFormat="1" x14ac:dyDescent="0.25">
      <c r="A212" s="18"/>
      <c r="C212" s="18"/>
      <c r="E212" s="18"/>
      <c r="G212" s="18"/>
    </row>
    <row r="213" spans="1:7" s="13" customFormat="1" x14ac:dyDescent="0.25">
      <c r="A213" s="18"/>
      <c r="C213" s="18"/>
      <c r="E213" s="18"/>
      <c r="G213" s="18"/>
    </row>
    <row r="215" spans="1:7" s="13" customFormat="1" x14ac:dyDescent="0.25">
      <c r="A215" s="18"/>
      <c r="C215" s="18"/>
      <c r="E215" s="18"/>
      <c r="G215" s="18"/>
    </row>
    <row r="218" spans="1:7" s="13" customFormat="1" x14ac:dyDescent="0.25">
      <c r="A218" s="18"/>
      <c r="C218" s="18"/>
      <c r="E218" s="18"/>
      <c r="G218" s="18"/>
    </row>
    <row r="221" spans="1:7" s="13" customFormat="1" x14ac:dyDescent="0.25">
      <c r="A221" s="18"/>
      <c r="C221" s="18"/>
      <c r="E221" s="18"/>
      <c r="G221" s="18"/>
    </row>
    <row r="226" spans="1:7" s="13" customFormat="1" x14ac:dyDescent="0.25">
      <c r="A226" s="18"/>
      <c r="C226" s="18"/>
      <c r="E226" s="18"/>
      <c r="G226" s="18"/>
    </row>
    <row r="227" spans="1:7" s="13" customFormat="1" x14ac:dyDescent="0.25">
      <c r="A227" s="18"/>
      <c r="C227" s="18"/>
      <c r="E227" s="18"/>
      <c r="G227" s="18"/>
    </row>
    <row r="228" spans="1:7" s="13" customFormat="1" x14ac:dyDescent="0.25">
      <c r="A228" s="18"/>
      <c r="C228" s="18"/>
      <c r="E228" s="18"/>
      <c r="G228" s="18"/>
    </row>
    <row r="234" spans="1:7" s="13" customFormat="1" x14ac:dyDescent="0.25">
      <c r="A234" s="18"/>
      <c r="C234" s="18"/>
      <c r="E234" s="18"/>
      <c r="G234" s="18"/>
    </row>
    <row r="240" spans="1:7" s="13" customFormat="1" x14ac:dyDescent="0.25">
      <c r="A240" s="18"/>
      <c r="C240" s="18"/>
      <c r="E240" s="18"/>
      <c r="G240" s="18"/>
    </row>
    <row r="242" spans="1:7" s="13" customFormat="1" x14ac:dyDescent="0.25">
      <c r="A242" s="18"/>
      <c r="C242" s="18"/>
      <c r="E242" s="18"/>
      <c r="G242" s="18"/>
    </row>
  </sheetData>
  <mergeCells count="3">
    <mergeCell ref="A3:B3"/>
    <mergeCell ref="E3:F3"/>
    <mergeCell ref="C3:D3"/>
  </mergeCells>
  <conditionalFormatting sqref="A5:A116">
    <cfRule type="containsText" dxfId="100" priority="5" operator="containsText" text="dk">
      <formula>NOT(ISERROR(SEARCH("dk",A5)))</formula>
    </cfRule>
    <cfRule type="containsText" dxfId="99" priority="6" operator="containsText" text="k">
      <formula>NOT(ISERROR(SEARCH("k",A5)))</formula>
    </cfRule>
  </conditionalFormatting>
  <conditionalFormatting sqref="C5:C116">
    <cfRule type="containsText" dxfId="98" priority="3" operator="containsText" text="dk">
      <formula>NOT(ISERROR(SEARCH("dk",C5)))</formula>
    </cfRule>
    <cfRule type="containsText" dxfId="97" priority="4" operator="containsText" text="k">
      <formula>NOT(ISERROR(SEARCH("k",C5)))</formula>
    </cfRule>
  </conditionalFormatting>
  <conditionalFormatting sqref="E5:E116">
    <cfRule type="containsText" dxfId="96" priority="1" operator="containsText" text="dk">
      <formula>NOT(ISERROR(SEARCH("dk",E5)))</formula>
    </cfRule>
    <cfRule type="containsText" dxfId="95" priority="2" operator="containsText" text="k">
      <formula>NOT(ISERROR(SEARCH("k",E5)))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moveMRGCs">
                <anchor moveWithCells="1" sizeWithCells="1">
                  <from>
                    <xdr:col>12</xdr:col>
                    <xdr:colOff>190500</xdr:colOff>
                    <xdr:row>0</xdr:row>
                    <xdr:rowOff>9525</xdr:rowOff>
                  </from>
                  <to>
                    <xdr:col>15</xdr:col>
                    <xdr:colOff>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45"/>
  <sheetViews>
    <sheetView topLeftCell="B1" workbookViewId="0">
      <selection activeCell="Q14" sqref="Q14"/>
    </sheetView>
  </sheetViews>
  <sheetFormatPr defaultRowHeight="15" x14ac:dyDescent="0.25"/>
  <cols>
    <col min="1" max="1" width="18.5703125" style="1" bestFit="1" customWidth="1"/>
    <col min="2" max="2" width="14.28515625" style="1" bestFit="1" customWidth="1"/>
    <col min="3" max="3" width="14.5703125" style="1" bestFit="1" customWidth="1"/>
    <col min="4" max="4" width="18.5703125" style="1" bestFit="1" customWidth="1"/>
    <col min="5" max="5" width="9.140625" style="1" bestFit="1" customWidth="1"/>
    <col min="6" max="6" width="4.7109375" style="1" bestFit="1" customWidth="1"/>
    <col min="7" max="7" width="6" style="1" bestFit="1" customWidth="1"/>
    <col min="8" max="8" width="4.7109375" style="1" bestFit="1" customWidth="1"/>
    <col min="9" max="9" width="9.140625" style="1"/>
    <col min="19" max="19" width="9.140625" style="1"/>
    <col min="20" max="20" width="14.28515625" style="1" bestFit="1" customWidth="1"/>
    <col min="21" max="21" width="14.5703125" style="1" bestFit="1" customWidth="1"/>
    <col min="22" max="22" width="18.5703125" style="1" bestFit="1" customWidth="1"/>
  </cols>
  <sheetData>
    <row r="1" spans="1:23" ht="15.75" thickBot="1" x14ac:dyDescent="0.3">
      <c r="A1" s="34" t="s">
        <v>7</v>
      </c>
      <c r="B1" s="34"/>
      <c r="C1" s="34"/>
      <c r="D1" s="34"/>
      <c r="E1" s="34"/>
      <c r="T1" s="1" t="s">
        <v>33</v>
      </c>
      <c r="U1" s="1" t="s">
        <v>31</v>
      </c>
      <c r="V1" s="1" t="s">
        <v>32</v>
      </c>
      <c r="W1" s="1" t="s">
        <v>14</v>
      </c>
    </row>
    <row r="2" spans="1:23" ht="15.75" thickBot="1" x14ac:dyDescent="0.3">
      <c r="A2" s="4"/>
      <c r="B2" s="24" t="s">
        <v>33</v>
      </c>
      <c r="C2" s="11" t="s">
        <v>31</v>
      </c>
      <c r="D2" s="11" t="s">
        <v>32</v>
      </c>
      <c r="E2" s="12" t="s">
        <v>14</v>
      </c>
      <c r="S2" s="1">
        <v>1</v>
      </c>
      <c r="T2" s="1" t="e">
        <f>AVERAGEIF(Control[Retina],$S2,Control[BackgroundFiringRate])</f>
        <v>#DIV/0!</v>
      </c>
      <c r="U2" s="1" t="e">
        <f>AVERAGEIF(LowMeth[Retina],$S2,LowMeth[BackgroundFiringRate])</f>
        <v>#DIV/0!</v>
      </c>
      <c r="V2" s="1" t="e">
        <f>AVERAGEIF(HighMeth[Retina],$S2,HighMeth[BackgroundFiringRate])</f>
        <v>#DIV/0!</v>
      </c>
      <c r="W2" s="1" t="e">
        <f>AVERAGEIF(Recovery[Retina],$S2,Recovery[BackgroundFiringRate])</f>
        <v>#DIV/0!</v>
      </c>
    </row>
    <row r="3" spans="1:23" x14ac:dyDescent="0.25">
      <c r="A3" s="27" t="s">
        <v>6</v>
      </c>
      <c r="B3" s="25" t="e">
        <f>AVERAGE(Control[BackgroundFiringRate])</f>
        <v>#DIV/0!</v>
      </c>
      <c r="C3" s="9" t="e">
        <f>AVERAGE(LowMeth[BackgroundFiringRate])</f>
        <v>#DIV/0!</v>
      </c>
      <c r="D3" s="9" t="e">
        <f>AVERAGEA(HighMeth[BackgroundFiringRate])</f>
        <v>#DIV/0!</v>
      </c>
      <c r="E3" s="10" t="e">
        <f>AVERAGEA(Recovery[BackgroundFiringRate])</f>
        <v>#DIV/0!</v>
      </c>
      <c r="S3" s="1">
        <v>2</v>
      </c>
      <c r="T3" s="1" t="e">
        <f>AVERAGEIF(Control[Retina],$S3,Control[BackgroundFiringRate])</f>
        <v>#DIV/0!</v>
      </c>
      <c r="U3" s="1" t="e">
        <f>AVERAGEIF(LowMeth[Retina],$S3,LowMeth[BackgroundFiringRate])</f>
        <v>#DIV/0!</v>
      </c>
      <c r="V3" s="1" t="e">
        <f>AVERAGEIF(HighMeth[Retina],$S3,HighMeth[BackgroundFiringRate])</f>
        <v>#DIV/0!</v>
      </c>
      <c r="W3" s="1" t="e">
        <f>AVERAGEIF(Recovery[Retina],$S3,Recovery[BackgroundFiringRate])</f>
        <v>#DIV/0!</v>
      </c>
    </row>
    <row r="4" spans="1:23" ht="15.75" thickBot="1" x14ac:dyDescent="0.3">
      <c r="A4" s="28" t="s">
        <v>3</v>
      </c>
      <c r="B4" s="26" t="e">
        <f>_xlfn.STDEV.S(Control[BackgroundFiringRate])/SQRT(COUNT(Control[BackgroundFiringRate]))</f>
        <v>#DIV/0!</v>
      </c>
      <c r="C4" s="3" t="e">
        <f>_xlfn.STDEV.S(LowMeth[BackgroundFiringRate])/SQRT(COUNT(LowMeth[BackgroundFiringRate]))</f>
        <v>#DIV/0!</v>
      </c>
      <c r="D4" s="3" t="e">
        <f>_xlfn.STDEV.S(HighMeth[BackgroundFiringRate])/SQRT(COUNT(HighMeth[BackgroundFiringRate]))</f>
        <v>#DIV/0!</v>
      </c>
      <c r="E4" s="2" t="e">
        <f>_xlfn.STDEV.S(Recovery[BackgroundFiringRate])/SQRT(COUNT(Recovery[BackgroundFiringRate]))</f>
        <v>#DIV/0!</v>
      </c>
      <c r="S4" s="1">
        <v>3</v>
      </c>
      <c r="T4" s="1" t="e">
        <f>AVERAGEIF(Control[Retina],$S4,Control[BackgroundFiringRate])</f>
        <v>#DIV/0!</v>
      </c>
      <c r="U4" s="1" t="e">
        <f>AVERAGEIF(LowMeth[Retina],$S4,LowMeth[BackgroundFiringRate])</f>
        <v>#DIV/0!</v>
      </c>
      <c r="V4" s="1" t="e">
        <f>AVERAGEIF(HighMeth[Retina],$S4,HighMeth[BackgroundFiringRate])</f>
        <v>#DIV/0!</v>
      </c>
      <c r="W4" s="1" t="e">
        <f>AVERAGEIF(Recovery[Retina],$S4,Recovery[BackgroundFiringRate])</f>
        <v>#DIV/0!</v>
      </c>
    </row>
    <row r="5" spans="1:23" x14ac:dyDescent="0.25">
      <c r="A5" s="5" t="s">
        <v>8</v>
      </c>
      <c r="B5" s="1" t="e">
        <f>($C3-$B3)/$B3*100</f>
        <v>#DIV/0!</v>
      </c>
      <c r="S5" s="1">
        <v>4</v>
      </c>
      <c r="T5" s="1" t="e">
        <f>AVERAGEIF(Control[Retina],$S5,Control[BackgroundFiringRate])</f>
        <v>#DIV/0!</v>
      </c>
      <c r="U5" s="1" t="e">
        <f>AVERAGEIF(LowMeth[Retina],$S5,LowMeth[BackgroundFiringRate])</f>
        <v>#DIV/0!</v>
      </c>
      <c r="V5" s="1" t="e">
        <f>AVERAGEIF(HighMeth[Retina],$S5,HighMeth[BackgroundFiringRate])</f>
        <v>#DIV/0!</v>
      </c>
      <c r="W5" s="1" t="e">
        <f>AVERAGEIF(Recovery[Retina],$S5,Recovery[BackgroundFiringRate])</f>
        <v>#DIV/0!</v>
      </c>
    </row>
    <row r="6" spans="1:23" x14ac:dyDescent="0.25">
      <c r="A6" s="5" t="s">
        <v>9</v>
      </c>
      <c r="B6" s="1" t="e">
        <f>$C3/$B3</f>
        <v>#DIV/0!</v>
      </c>
      <c r="S6" s="1">
        <v>5</v>
      </c>
      <c r="T6" s="1" t="e">
        <f>AVERAGEIF(Control[Retina],$S6,Control[BackgroundFiringRate])</f>
        <v>#DIV/0!</v>
      </c>
      <c r="U6" s="1" t="e">
        <f>AVERAGEIF(LowMeth[Retina],$S6,LowMeth[BackgroundFiringRate])</f>
        <v>#DIV/0!</v>
      </c>
      <c r="V6" s="1" t="e">
        <f>AVERAGEIF(HighMeth[Retina],$S6,HighMeth[BackgroundFiringRate])</f>
        <v>#DIV/0!</v>
      </c>
      <c r="W6" s="1" t="e">
        <f>AVERAGEIF(Recovery[Retina],$S6,Recovery[BackgroundFiringRate])</f>
        <v>#DIV/0!</v>
      </c>
    </row>
    <row r="7" spans="1:23" x14ac:dyDescent="0.25">
      <c r="S7" s="1">
        <v>6</v>
      </c>
      <c r="T7" s="1" t="e">
        <f>AVERAGEIF(Control[Retina],$S7,Control[BackgroundFiringRate])</f>
        <v>#DIV/0!</v>
      </c>
      <c r="U7" s="1" t="e">
        <f>AVERAGEIF(LowMeth[Retina],$S7,LowMeth[BackgroundFiringRate])</f>
        <v>#DIV/0!</v>
      </c>
      <c r="V7" s="1" t="e">
        <f>AVERAGEIF(HighMeth[Retina],$S7,HighMeth[BackgroundFiringRate])</f>
        <v>#DIV/0!</v>
      </c>
      <c r="W7" s="1" t="e">
        <f>AVERAGEIF(Recovery[Retina],$S7,Recovery[BackgroundFiringRate])</f>
        <v>#DIV/0!</v>
      </c>
    </row>
    <row r="8" spans="1:23" x14ac:dyDescent="0.25">
      <c r="S8"/>
      <c r="T8"/>
      <c r="U8"/>
      <c r="V8"/>
    </row>
    <row r="17" spans="1:23" ht="15.75" thickBot="1" x14ac:dyDescent="0.3">
      <c r="A17" s="34" t="s">
        <v>11</v>
      </c>
      <c r="B17" s="34"/>
      <c r="C17" s="34"/>
      <c r="D17" s="34"/>
      <c r="E17" s="34"/>
      <c r="T17" s="1" t="s">
        <v>33</v>
      </c>
      <c r="U17" s="1" t="s">
        <v>31</v>
      </c>
      <c r="V17" s="1" t="s">
        <v>32</v>
      </c>
      <c r="W17" s="1" t="s">
        <v>14</v>
      </c>
    </row>
    <row r="18" spans="1:23" ht="15.75" thickBot="1" x14ac:dyDescent="0.3">
      <c r="A18" s="4"/>
      <c r="B18" s="29" t="s">
        <v>33</v>
      </c>
      <c r="C18" s="30" t="s">
        <v>31</v>
      </c>
      <c r="D18" s="30" t="s">
        <v>32</v>
      </c>
      <c r="E18" s="31" t="s">
        <v>14</v>
      </c>
      <c r="S18" s="1">
        <v>1</v>
      </c>
      <c r="T18" s="1" t="e">
        <f>AVERAGEIF(Control[Retina],'Property Values'!$S18,Control[BackgroundISI])</f>
        <v>#DIV/0!</v>
      </c>
      <c r="U18" s="1" t="e">
        <f>AVERAGEIF(LowMeth[Retina],'Property Values'!$S18,LowMeth[BackgroundISI])</f>
        <v>#DIV/0!</v>
      </c>
      <c r="V18" s="1" t="e">
        <f>AVERAGEIF(HighMeth[Retina],'Property Values'!$S18,HighMeth[BackgroundISI])</f>
        <v>#DIV/0!</v>
      </c>
      <c r="W18" s="1" t="e">
        <f>AVERAGEIF(Recovery[Retina],$S18,Recovery[BackgroundISI])</f>
        <v>#DIV/0!</v>
      </c>
    </row>
    <row r="19" spans="1:23" x14ac:dyDescent="0.25">
      <c r="A19" s="27" t="s">
        <v>6</v>
      </c>
      <c r="B19" s="25" t="e">
        <f>AVERAGE(Control[BackgroundISI])</f>
        <v>#DIV/0!</v>
      </c>
      <c r="C19" s="9" t="e">
        <f>AVERAGE(LowMeth[BackgroundISI])</f>
        <v>#DIV/0!</v>
      </c>
      <c r="D19" s="9" t="e">
        <f>AVERAGE(HighMeth[BackgroundISI])</f>
        <v>#DIV/0!</v>
      </c>
      <c r="E19" s="10" t="e">
        <f>AVERAGEA(Recovery[BackgroundISI])</f>
        <v>#DIV/0!</v>
      </c>
      <c r="S19" s="1">
        <v>2</v>
      </c>
      <c r="T19" s="1" t="e">
        <f>AVERAGEIF(Control[Retina],'Property Values'!$S19,Control[BackgroundISI])</f>
        <v>#DIV/0!</v>
      </c>
      <c r="U19" s="1" t="e">
        <f>AVERAGEIF(LowMeth[Retina],'Property Values'!$S19,LowMeth[BackgroundISI])</f>
        <v>#DIV/0!</v>
      </c>
      <c r="V19" s="1" t="e">
        <f>AVERAGEIF(HighMeth[Retina],'Property Values'!$S19,HighMeth[BackgroundISI])</f>
        <v>#DIV/0!</v>
      </c>
      <c r="W19" s="1" t="e">
        <f>AVERAGEIF(Recovery[Retina],$S19,Recovery[BackgroundISI])</f>
        <v>#DIV/0!</v>
      </c>
    </row>
    <row r="20" spans="1:23" ht="15.75" thickBot="1" x14ac:dyDescent="0.3">
      <c r="A20" s="28" t="s">
        <v>3</v>
      </c>
      <c r="B20" s="26" t="e">
        <f>_xlfn.STDEV.S(Control[BackgroundISI])/SQRT(COUNT(Control[BackgroundISI]))</f>
        <v>#DIV/0!</v>
      </c>
      <c r="C20" s="3" t="e">
        <f>_xlfn.STDEV.S(LowMeth[BackgroundISI])/SQRT(COUNT(LowMeth[BackgroundISI]))</f>
        <v>#DIV/0!</v>
      </c>
      <c r="D20" s="3" t="e">
        <f>_xlfn.STDEV.S(HighMeth[BackgroundISI])/SQRT(COUNT(HighMeth[BackgroundISI]))</f>
        <v>#DIV/0!</v>
      </c>
      <c r="E20" s="2" t="e">
        <f>_xlfn.STDEV.S(Recovery[BackgroundISI])/SQRT(COUNT(Recovery[BackgroundISI]))</f>
        <v>#DIV/0!</v>
      </c>
      <c r="S20" s="1">
        <v>3</v>
      </c>
      <c r="T20" s="1" t="e">
        <f>AVERAGEIF(Control[Retina],'Property Values'!$S20,Control[BackgroundISI])</f>
        <v>#DIV/0!</v>
      </c>
      <c r="U20" s="1" t="e">
        <f>AVERAGEIF(LowMeth[Retina],'Property Values'!$S20,LowMeth[BackgroundISI])</f>
        <v>#DIV/0!</v>
      </c>
      <c r="V20" s="1" t="e">
        <f>AVERAGEIF(HighMeth[Retina],'Property Values'!$S20,HighMeth[BackgroundISI])</f>
        <v>#DIV/0!</v>
      </c>
      <c r="W20" s="1" t="e">
        <f>AVERAGEIF(Recovery[Retina],$S20,Recovery[BackgroundISI])</f>
        <v>#DIV/0!</v>
      </c>
    </row>
    <row r="21" spans="1:23" x14ac:dyDescent="0.25">
      <c r="A21" s="5" t="s">
        <v>8</v>
      </c>
      <c r="B21" s="1" t="e">
        <f>(C19-B19)/B19*100</f>
        <v>#DIV/0!</v>
      </c>
      <c r="S21" s="1">
        <v>4</v>
      </c>
      <c r="T21" s="1" t="e">
        <f>AVERAGEIF(Control[Retina],'Property Values'!$S21,Control[BackgroundISI])</f>
        <v>#DIV/0!</v>
      </c>
      <c r="U21" s="1" t="e">
        <f>AVERAGEIF(LowMeth[Retina],'Property Values'!$S21,LowMeth[BackgroundISI])</f>
        <v>#DIV/0!</v>
      </c>
      <c r="V21" s="1" t="e">
        <f>AVERAGEIF(HighMeth[Retina],'Property Values'!$S21,HighMeth[BackgroundISI])</f>
        <v>#DIV/0!</v>
      </c>
      <c r="W21" s="1" t="e">
        <f>AVERAGEIF(Recovery[Retina],$S21,Recovery[BackgroundISI])</f>
        <v>#DIV/0!</v>
      </c>
    </row>
    <row r="22" spans="1:23" x14ac:dyDescent="0.25">
      <c r="A22" s="5" t="s">
        <v>9</v>
      </c>
      <c r="B22" s="1" t="e">
        <f>C19/B19</f>
        <v>#DIV/0!</v>
      </c>
      <c r="S22" s="1">
        <v>5</v>
      </c>
      <c r="T22" s="1" t="e">
        <f>AVERAGEIF(Control[Retina],'Property Values'!$S22,Control[BackgroundISI])</f>
        <v>#DIV/0!</v>
      </c>
      <c r="U22" s="1" t="e">
        <f>AVERAGEIF(LowMeth[Retina],'Property Values'!$S22,LowMeth[BackgroundISI])</f>
        <v>#DIV/0!</v>
      </c>
      <c r="V22" s="1" t="e">
        <f>AVERAGEIF(HighMeth[Retina],'Property Values'!$S22,HighMeth[BackgroundISI])</f>
        <v>#DIV/0!</v>
      </c>
      <c r="W22" s="1" t="e">
        <f>AVERAGEIF(Recovery[Retina],$S22,Recovery[BackgroundISI])</f>
        <v>#DIV/0!</v>
      </c>
    </row>
    <row r="23" spans="1:23" x14ac:dyDescent="0.25">
      <c r="S23" s="1">
        <v>6</v>
      </c>
      <c r="T23" s="1" t="e">
        <f>AVERAGEIF(Control[Retina],'Property Values'!$S23,Control[BackgroundISI])</f>
        <v>#DIV/0!</v>
      </c>
      <c r="U23" s="1" t="e">
        <f>AVERAGEIF(LowMeth[Retina],'Property Values'!$S23,LowMeth[BackgroundISI])</f>
        <v>#DIV/0!</v>
      </c>
      <c r="V23" s="1" t="e">
        <f>AVERAGEIF(HighMeth[Retina],'Property Values'!$S23,HighMeth[BackgroundISI])</f>
        <v>#DIV/0!</v>
      </c>
      <c r="W23" s="1" t="e">
        <f>AVERAGEIF(Recovery[Retina],$S23,Recovery[BackgroundISI])</f>
        <v>#DIV/0!</v>
      </c>
    </row>
    <row r="24" spans="1:23" x14ac:dyDescent="0.25">
      <c r="S24"/>
      <c r="T24"/>
      <c r="U24"/>
      <c r="V24"/>
    </row>
    <row r="31" spans="1:23" x14ac:dyDescent="0.25">
      <c r="T31" s="1" t="s">
        <v>33</v>
      </c>
      <c r="U31" s="1" t="s">
        <v>31</v>
      </c>
      <c r="V31" s="1" t="s">
        <v>32</v>
      </c>
      <c r="W31" s="1" t="s">
        <v>14</v>
      </c>
    </row>
    <row r="32" spans="1:23" ht="15.75" thickBot="1" x14ac:dyDescent="0.3">
      <c r="A32" s="34" t="s">
        <v>15</v>
      </c>
      <c r="B32" s="34"/>
      <c r="C32" s="34"/>
      <c r="D32" s="34"/>
      <c r="E32" s="34"/>
      <c r="S32" s="1">
        <v>1</v>
      </c>
      <c r="T32" s="1" t="e">
        <f>AVERAGEIF(Control[Retina],'Property Values'!$S32,Control[BurstFreq])</f>
        <v>#DIV/0!</v>
      </c>
      <c r="U32" s="1" t="e">
        <f>AVERAGEIF(LowMeth[Retina],'Property Values'!$S32,LowMeth[BurstFreq])</f>
        <v>#DIV/0!</v>
      </c>
      <c r="V32" s="1" t="e">
        <f>AVERAGEIF(HighMeth[Retina],'Property Values'!$S32,HighMeth[BurstFreq])</f>
        <v>#DIV/0!</v>
      </c>
      <c r="W32" s="1" t="e">
        <f>AVERAGEIF(Recovery[Retina],$S32,Recovery[BurstFreq])</f>
        <v>#DIV/0!</v>
      </c>
    </row>
    <row r="33" spans="1:23" ht="15.75" thickBot="1" x14ac:dyDescent="0.3">
      <c r="A33" s="4"/>
      <c r="B33" s="24" t="s">
        <v>33</v>
      </c>
      <c r="C33" s="11" t="s">
        <v>31</v>
      </c>
      <c r="D33" s="11" t="s">
        <v>32</v>
      </c>
      <c r="E33" s="12" t="s">
        <v>14</v>
      </c>
      <c r="S33" s="1">
        <v>2</v>
      </c>
      <c r="T33" s="1" t="e">
        <f>AVERAGEIF(Control[Retina],'Property Values'!$S33,Control[BurstFreq])</f>
        <v>#DIV/0!</v>
      </c>
      <c r="U33" s="1" t="e">
        <f>AVERAGEIF(LowMeth[Retina],'Property Values'!$S33,LowMeth[BurstFreq])</f>
        <v>#DIV/0!</v>
      </c>
      <c r="V33" s="1" t="e">
        <f>AVERAGEIF(HighMeth[Retina],'Property Values'!$S33,HighMeth[BurstFreq])</f>
        <v>#DIV/0!</v>
      </c>
      <c r="W33" s="1" t="e">
        <f>AVERAGEIF(Recovery[Retina],$S33,Recovery[BurstFreq])</f>
        <v>#DIV/0!</v>
      </c>
    </row>
    <row r="34" spans="1:23" x14ac:dyDescent="0.25">
      <c r="A34" s="27" t="s">
        <v>6</v>
      </c>
      <c r="B34" s="25" t="e">
        <f>AVERAGE(Control[BurstFreq])</f>
        <v>#DIV/0!</v>
      </c>
      <c r="C34" s="9" t="e">
        <f>AVERAGE(LowMeth[BurstFreq])</f>
        <v>#DIV/0!</v>
      </c>
      <c r="D34" s="9" t="e">
        <f>AVERAGE(HighMeth[BurstFreq])</f>
        <v>#DIV/0!</v>
      </c>
      <c r="E34" s="10" t="e">
        <f>AVERAGEA(Recovery[BurstFreq])</f>
        <v>#DIV/0!</v>
      </c>
      <c r="S34" s="1">
        <v>3</v>
      </c>
      <c r="T34" s="1" t="e">
        <f>AVERAGEIF(Control[Retina],'Property Values'!$S34,Control[BurstFreq])</f>
        <v>#DIV/0!</v>
      </c>
      <c r="U34" s="1" t="e">
        <f>AVERAGEIF(LowMeth[Retina],'Property Values'!$S34,LowMeth[BurstFreq])</f>
        <v>#DIV/0!</v>
      </c>
      <c r="V34" s="1" t="e">
        <f>AVERAGEIF(HighMeth[Retina],'Property Values'!$S34,HighMeth[BurstFreq])</f>
        <v>#DIV/0!</v>
      </c>
      <c r="W34" s="1" t="e">
        <f>AVERAGEIF(Recovery[Retina],$S34,Recovery[BurstFreq])</f>
        <v>#DIV/0!</v>
      </c>
    </row>
    <row r="35" spans="1:23" ht="15.75" thickBot="1" x14ac:dyDescent="0.3">
      <c r="A35" s="28" t="s">
        <v>3</v>
      </c>
      <c r="B35" s="26" t="e">
        <f>_xlfn.STDEV.S(Control[BurstFreq])/SQRT(COUNT(Control[BurstFreq]))</f>
        <v>#DIV/0!</v>
      </c>
      <c r="C35" s="3" t="e">
        <f>_xlfn.STDEV.S(LowMeth[BurstFreq])/SQRT(COUNT(LowMeth[BurstFreq]))</f>
        <v>#DIV/0!</v>
      </c>
      <c r="D35" s="3" t="e">
        <f>_xlfn.STDEV.S(HighMeth[BurstFreq])/SQRT(COUNT(HighMeth[BurstFreq]))</f>
        <v>#DIV/0!</v>
      </c>
      <c r="E35" s="2" t="e">
        <f>_xlfn.STDEV.S(Recovery[BurstFreq])/SQRT(COUNT(Recovery[BurstFreq]))</f>
        <v>#DIV/0!</v>
      </c>
      <c r="S35" s="1">
        <v>4</v>
      </c>
      <c r="T35" s="1" t="e">
        <f>AVERAGEIF(Control[Retina],'Property Values'!$S35,Control[BurstFreq])</f>
        <v>#DIV/0!</v>
      </c>
      <c r="U35" s="1" t="e">
        <f>AVERAGEIF(LowMeth[Retina],'Property Values'!$S35,LowMeth[BurstFreq])</f>
        <v>#DIV/0!</v>
      </c>
      <c r="V35" s="1" t="e">
        <f>AVERAGEIF(HighMeth[Retina],'Property Values'!$S35,HighMeth[BurstFreq])</f>
        <v>#DIV/0!</v>
      </c>
      <c r="W35" s="1" t="e">
        <f>AVERAGEIF(Recovery[Retina],$S35,Recovery[BurstFreq])</f>
        <v>#DIV/0!</v>
      </c>
    </row>
    <row r="36" spans="1:23" x14ac:dyDescent="0.25">
      <c r="A36" s="5" t="s">
        <v>8</v>
      </c>
      <c r="B36" s="1" t="e">
        <f>(C34-B34)/B34*100</f>
        <v>#DIV/0!</v>
      </c>
      <c r="S36" s="1">
        <v>5</v>
      </c>
      <c r="T36" s="1" t="e">
        <f>AVERAGEIF(Control[Retina],'Property Values'!$S36,Control[BurstFreq])</f>
        <v>#DIV/0!</v>
      </c>
      <c r="U36" s="1" t="e">
        <f>AVERAGEIF(LowMeth[Retina],'Property Values'!$S36,LowMeth[BurstFreq])</f>
        <v>#DIV/0!</v>
      </c>
      <c r="V36" s="1" t="e">
        <f>AVERAGEIF(HighMeth[Retina],'Property Values'!$S36,HighMeth[BurstFreq])</f>
        <v>#DIV/0!</v>
      </c>
      <c r="W36" s="1" t="e">
        <f>AVERAGEIF(Recovery[Retina],$S36,Recovery[BurstFreq])</f>
        <v>#DIV/0!</v>
      </c>
    </row>
    <row r="37" spans="1:23" x14ac:dyDescent="0.25">
      <c r="A37" s="5" t="s">
        <v>9</v>
      </c>
      <c r="B37" s="1" t="e">
        <f>C34/B34</f>
        <v>#DIV/0!</v>
      </c>
      <c r="S37" s="1">
        <v>6</v>
      </c>
      <c r="T37" s="1" t="e">
        <f>AVERAGEIF(Control[Retina],'Property Values'!$S37,Control[BurstFreq])</f>
        <v>#DIV/0!</v>
      </c>
      <c r="U37" s="1" t="e">
        <f>AVERAGEIF(LowMeth[Retina],'Property Values'!$S37,LowMeth[BurstFreq])</f>
        <v>#DIV/0!</v>
      </c>
      <c r="V37" s="1" t="e">
        <f>AVERAGEIF(HighMeth[Retina],'Property Values'!$S37,HighMeth[BurstFreq])</f>
        <v>#DIV/0!</v>
      </c>
      <c r="W37" s="1" t="e">
        <f>AVERAGEIF(Recovery[Retina],$S37,Recovery[BurstFreq])</f>
        <v>#DIV/0!</v>
      </c>
    </row>
    <row r="38" spans="1:23" x14ac:dyDescent="0.25">
      <c r="S38"/>
      <c r="T38"/>
      <c r="U38"/>
      <c r="V38"/>
    </row>
    <row r="46" spans="1:23" x14ac:dyDescent="0.25">
      <c r="T46" s="1" t="s">
        <v>33</v>
      </c>
      <c r="U46" s="1" t="s">
        <v>31</v>
      </c>
      <c r="V46" s="1" t="s">
        <v>32</v>
      </c>
      <c r="W46" s="1" t="s">
        <v>14</v>
      </c>
    </row>
    <row r="47" spans="1:23" ht="15.75" thickBot="1" x14ac:dyDescent="0.3">
      <c r="A47" s="34" t="s">
        <v>16</v>
      </c>
      <c r="B47" s="34"/>
      <c r="C47" s="34"/>
      <c r="D47" s="34"/>
      <c r="E47" s="34"/>
      <c r="S47" s="1">
        <v>1</v>
      </c>
      <c r="T47" s="1" t="e">
        <f>AVERAGEIF(Control[Retina],'Property Values'!$S47,Control[IBI])</f>
        <v>#DIV/0!</v>
      </c>
      <c r="U47" s="1" t="e">
        <f>AVERAGEIF(LowMeth[Retina],'Property Values'!$S47,LowMeth[IBI])</f>
        <v>#DIV/0!</v>
      </c>
      <c r="V47" s="1" t="e">
        <f>AVERAGEIF(HighMeth[Retina],'Property Values'!$S47,HighMeth[IBI])</f>
        <v>#DIV/0!</v>
      </c>
      <c r="W47" s="1" t="e">
        <f>AVERAGEIF(Recovery[Retina],$S47,Recovery[IBI])</f>
        <v>#DIV/0!</v>
      </c>
    </row>
    <row r="48" spans="1:23" ht="15.75" thickBot="1" x14ac:dyDescent="0.3">
      <c r="A48" s="4"/>
      <c r="B48" s="29" t="s">
        <v>33</v>
      </c>
      <c r="C48" s="30" t="s">
        <v>31</v>
      </c>
      <c r="D48" s="30" t="s">
        <v>32</v>
      </c>
      <c r="E48" s="31" t="s">
        <v>14</v>
      </c>
      <c r="S48" s="1">
        <v>2</v>
      </c>
      <c r="T48" s="1" t="e">
        <f>AVERAGEIF(Control[Retina],'Property Values'!$S48,Control[IBI])</f>
        <v>#DIV/0!</v>
      </c>
      <c r="U48" s="1" t="e">
        <f>AVERAGEIF(LowMeth[Retina],'Property Values'!$S48,LowMeth[IBI])</f>
        <v>#DIV/0!</v>
      </c>
      <c r="V48" s="1" t="e">
        <f>AVERAGEIF(HighMeth[Retina],'Property Values'!$S48,HighMeth[IBI])</f>
        <v>#DIV/0!</v>
      </c>
      <c r="W48" s="1" t="e">
        <f>AVERAGEIF(Recovery[Retina],$S48,Recovery[IBI])</f>
        <v>#DIV/0!</v>
      </c>
    </row>
    <row r="49" spans="1:23" x14ac:dyDescent="0.25">
      <c r="A49" s="27" t="s">
        <v>6</v>
      </c>
      <c r="B49" s="25" t="e">
        <f>AVERAGE(Control[IBI])</f>
        <v>#DIV/0!</v>
      </c>
      <c r="C49" s="9" t="e">
        <f>AVERAGE(LowMeth[IBI])</f>
        <v>#DIV/0!</v>
      </c>
      <c r="D49" s="9" t="e">
        <f>AVERAGE(HighMeth[IBI])</f>
        <v>#DIV/0!</v>
      </c>
      <c r="E49" s="10" t="e">
        <f>AVERAGEA(Recovery[IBI])</f>
        <v>#DIV/0!</v>
      </c>
      <c r="S49" s="1">
        <v>3</v>
      </c>
      <c r="T49" s="1" t="e">
        <f>AVERAGEIF(Control[Retina],'Property Values'!$S49,Control[IBI])</f>
        <v>#DIV/0!</v>
      </c>
      <c r="U49" s="1" t="e">
        <f>AVERAGEIF(LowMeth[Retina],'Property Values'!$S49,LowMeth[IBI])</f>
        <v>#DIV/0!</v>
      </c>
      <c r="V49" s="1" t="e">
        <f>AVERAGEIF(HighMeth[Retina],'Property Values'!$S49,HighMeth[IBI])</f>
        <v>#DIV/0!</v>
      </c>
      <c r="W49" s="1" t="e">
        <f>AVERAGEIF(Recovery[Retina],$S49,Recovery[IBI])</f>
        <v>#DIV/0!</v>
      </c>
    </row>
    <row r="50" spans="1:23" ht="15.75" thickBot="1" x14ac:dyDescent="0.3">
      <c r="A50" s="28" t="s">
        <v>3</v>
      </c>
      <c r="B50" s="26" t="e">
        <f>_xlfn.STDEV.S(Control[IBI])/SQRT(COUNT(Control[IBI]))</f>
        <v>#DIV/0!</v>
      </c>
      <c r="C50" s="3" t="e">
        <f>_xlfn.STDEV.S(LowMeth[IBI])/SQRT(COUNT(LowMeth[IBI]))</f>
        <v>#DIV/0!</v>
      </c>
      <c r="D50" s="3" t="e">
        <f>_xlfn.STDEV.S(HighMeth[IBI])/SQRT(COUNT(HighMeth[IBI]))</f>
        <v>#DIV/0!</v>
      </c>
      <c r="E50" s="2" t="e">
        <f>_xlfn.STDEV.S(Recovery[IBI])/SQRT(COUNT(Recovery[IBI]))</f>
        <v>#DIV/0!</v>
      </c>
      <c r="S50" s="1">
        <v>4</v>
      </c>
      <c r="T50" s="1" t="e">
        <f>AVERAGEIF(Control[Retina],'Property Values'!$S50,Control[IBI])</f>
        <v>#DIV/0!</v>
      </c>
      <c r="U50" s="1" t="e">
        <f>AVERAGEIF(LowMeth[Retina],'Property Values'!$S50,LowMeth[IBI])</f>
        <v>#DIV/0!</v>
      </c>
      <c r="V50" s="1" t="e">
        <f>AVERAGEIF(HighMeth[Retina],'Property Values'!$S50,HighMeth[IBI])</f>
        <v>#DIV/0!</v>
      </c>
      <c r="W50" s="1" t="e">
        <f>AVERAGEIF(Recovery[Retina],$S50,Recovery[IBI])</f>
        <v>#DIV/0!</v>
      </c>
    </row>
    <row r="51" spans="1:23" x14ac:dyDescent="0.25">
      <c r="A51" s="5" t="s">
        <v>8</v>
      </c>
      <c r="B51" s="1" t="e">
        <f>(C49-B49)/B49*100</f>
        <v>#DIV/0!</v>
      </c>
      <c r="S51" s="1">
        <v>5</v>
      </c>
      <c r="T51" s="1" t="e">
        <f>AVERAGEIF(Control[Retina],'Property Values'!$S51,Control[IBI])</f>
        <v>#DIV/0!</v>
      </c>
      <c r="U51" s="1" t="e">
        <f>AVERAGEIF(LowMeth[Retina],'Property Values'!$S51,LowMeth[IBI])</f>
        <v>#DIV/0!</v>
      </c>
      <c r="V51" s="1" t="e">
        <f>AVERAGEIF(HighMeth[Retina],'Property Values'!$S51,HighMeth[IBI])</f>
        <v>#DIV/0!</v>
      </c>
      <c r="W51" s="1" t="e">
        <f>AVERAGEIF(Recovery[Retina],$S51,Recovery[IBI])</f>
        <v>#DIV/0!</v>
      </c>
    </row>
    <row r="52" spans="1:23" x14ac:dyDescent="0.25">
      <c r="A52" s="5" t="s">
        <v>9</v>
      </c>
      <c r="B52" s="1" t="e">
        <f>C49/B49</f>
        <v>#DIV/0!</v>
      </c>
      <c r="S52" s="1">
        <v>6</v>
      </c>
      <c r="T52" s="1" t="e">
        <f>AVERAGEIF(Control[Retina],'Property Values'!$S52,Control[IBI])</f>
        <v>#DIV/0!</v>
      </c>
      <c r="U52" s="1" t="e">
        <f>AVERAGEIF(LowMeth[Retina],'Property Values'!$S52,LowMeth[IBI])</f>
        <v>#DIV/0!</v>
      </c>
      <c r="V52" s="1" t="e">
        <f>AVERAGEIF(HighMeth[Retina],'Property Values'!$S52,HighMeth[IBI])</f>
        <v>#DIV/0!</v>
      </c>
      <c r="W52" s="1" t="e">
        <f>AVERAGEIF(Recovery[Retina],$S52,Recovery[IBI])</f>
        <v>#DIV/0!</v>
      </c>
    </row>
    <row r="62" spans="1:23" x14ac:dyDescent="0.25">
      <c r="T62" s="1" t="s">
        <v>33</v>
      </c>
      <c r="U62" s="1" t="s">
        <v>31</v>
      </c>
      <c r="V62" s="1" t="s">
        <v>32</v>
      </c>
      <c r="W62" s="1" t="s">
        <v>14</v>
      </c>
    </row>
    <row r="63" spans="1:23" ht="15.75" thickBot="1" x14ac:dyDescent="0.3">
      <c r="A63" s="34" t="s">
        <v>17</v>
      </c>
      <c r="B63" s="34"/>
      <c r="C63" s="34"/>
      <c r="D63" s="34"/>
      <c r="E63" s="34"/>
      <c r="S63" s="1">
        <v>1</v>
      </c>
      <c r="T63" s="1" t="e">
        <f>AVERAGEIF(Control[Retina],'Property Values'!$S63,Control[BurstDuration])</f>
        <v>#DIV/0!</v>
      </c>
      <c r="U63" s="1" t="e">
        <f>AVERAGEIF(LowMeth[Retina],'Property Values'!$S63,LowMeth[BurstDuration])</f>
        <v>#DIV/0!</v>
      </c>
      <c r="V63" s="1" t="e">
        <f>AVERAGEIF(HighMeth[Retina],'Property Values'!$S63,HighMeth[BurstDuration])</f>
        <v>#DIV/0!</v>
      </c>
      <c r="W63" s="1" t="e">
        <f>AVERAGEIF(Recovery[Retina],$S63,Recovery[BurstDuration])</f>
        <v>#DIV/0!</v>
      </c>
    </row>
    <row r="64" spans="1:23" ht="15.75" thickBot="1" x14ac:dyDescent="0.3">
      <c r="A64" s="4"/>
      <c r="B64" s="29" t="s">
        <v>33</v>
      </c>
      <c r="C64" s="30" t="s">
        <v>31</v>
      </c>
      <c r="D64" s="30" t="s">
        <v>32</v>
      </c>
      <c r="E64" s="31" t="s">
        <v>14</v>
      </c>
      <c r="S64" s="1">
        <v>2</v>
      </c>
      <c r="T64" s="1" t="e">
        <f>AVERAGEIF(Control[Retina],'Property Values'!$S64,Control[BurstDuration])</f>
        <v>#DIV/0!</v>
      </c>
      <c r="U64" s="1" t="e">
        <f>AVERAGEIF(LowMeth[Retina],'Property Values'!$S64,LowMeth[BurstDuration])</f>
        <v>#DIV/0!</v>
      </c>
      <c r="V64" s="1" t="e">
        <f>AVERAGEIF(HighMeth[Retina],'Property Values'!$S64,HighMeth[BurstDuration])</f>
        <v>#DIV/0!</v>
      </c>
      <c r="W64" s="1" t="e">
        <f>AVERAGEIF(Recovery[Retina],$S64,Recovery[BurstDuration])</f>
        <v>#DIV/0!</v>
      </c>
    </row>
    <row r="65" spans="1:23" x14ac:dyDescent="0.25">
      <c r="A65" s="27" t="s">
        <v>6</v>
      </c>
      <c r="B65" s="25" t="e">
        <f>AVERAGE(Control[BurstDuration])</f>
        <v>#DIV/0!</v>
      </c>
      <c r="C65" s="9" t="e">
        <f>AVERAGE(LowMeth[BurstDuration])</f>
        <v>#DIV/0!</v>
      </c>
      <c r="D65" s="9" t="e">
        <f>AVERAGE(HighMeth[BurstDuration])</f>
        <v>#DIV/0!</v>
      </c>
      <c r="E65" s="10" t="e">
        <f>AVERAGEA(Recovery[BurstDuration])</f>
        <v>#DIV/0!</v>
      </c>
      <c r="S65" s="1">
        <v>3</v>
      </c>
      <c r="T65" s="1" t="e">
        <f>AVERAGEIF(Control[Retina],'Property Values'!$S65,Control[BurstDuration])</f>
        <v>#DIV/0!</v>
      </c>
      <c r="U65" s="1" t="e">
        <f>AVERAGEIF(LowMeth[Retina],'Property Values'!$S65,LowMeth[BurstDuration])</f>
        <v>#DIV/0!</v>
      </c>
      <c r="V65" s="1" t="e">
        <f>AVERAGEIF(HighMeth[Retina],'Property Values'!$S65,HighMeth[BurstDuration])</f>
        <v>#DIV/0!</v>
      </c>
      <c r="W65" s="1" t="e">
        <f>AVERAGEIF(Recovery[Retina],$S65,Recovery[BurstDuration])</f>
        <v>#DIV/0!</v>
      </c>
    </row>
    <row r="66" spans="1:23" ht="15.75" thickBot="1" x14ac:dyDescent="0.3">
      <c r="A66" s="28" t="s">
        <v>3</v>
      </c>
      <c r="B66" s="26" t="e">
        <f>_xlfn.STDEV.S(Control[BurstDuration])/SQRT(COUNT(Control[BurstDuration]))</f>
        <v>#DIV/0!</v>
      </c>
      <c r="C66" s="3" t="e">
        <f>_xlfn.STDEV.S(LowMeth[BurstDuration])/SQRT(COUNT(LowMeth[BurstDuration]))</f>
        <v>#DIV/0!</v>
      </c>
      <c r="D66" s="3" t="e">
        <f>_xlfn.STDEV.S(HighMeth[BurstDuration])/SQRT(COUNT(HighMeth[BurstDuration]))</f>
        <v>#DIV/0!</v>
      </c>
      <c r="E66" s="2" t="e">
        <f>_xlfn.STDEV.S(Recovery[BurstDuration])/SQRT(COUNT(Recovery[BurstDuration]))</f>
        <v>#DIV/0!</v>
      </c>
      <c r="S66" s="1">
        <v>4</v>
      </c>
      <c r="T66" s="1" t="e">
        <f>AVERAGEIF(Control[Retina],'Property Values'!$S66,Control[BurstDuration])</f>
        <v>#DIV/0!</v>
      </c>
      <c r="U66" s="1" t="e">
        <f>AVERAGEIF(LowMeth[Retina],'Property Values'!$S66,LowMeth[BurstDuration])</f>
        <v>#DIV/0!</v>
      </c>
      <c r="V66" s="1" t="e">
        <f>AVERAGEIF(HighMeth[Retina],'Property Values'!$S66,HighMeth[BurstDuration])</f>
        <v>#DIV/0!</v>
      </c>
      <c r="W66" s="1" t="e">
        <f>AVERAGEIF(Recovery[Retina],$S66,Recovery[BurstDuration])</f>
        <v>#DIV/0!</v>
      </c>
    </row>
    <row r="67" spans="1:23" x14ac:dyDescent="0.25">
      <c r="A67" s="5" t="s">
        <v>8</v>
      </c>
      <c r="B67" s="1" t="e">
        <f>(C65-B65)/B65*100</f>
        <v>#DIV/0!</v>
      </c>
      <c r="S67" s="1">
        <v>5</v>
      </c>
      <c r="T67" s="1" t="e">
        <f>AVERAGEIF(Control[Retina],'Property Values'!$S67,Control[BurstDuration])</f>
        <v>#DIV/0!</v>
      </c>
      <c r="U67" s="1" t="e">
        <f>AVERAGEIF(LowMeth[Retina],'Property Values'!$S67,LowMeth[BurstDuration])</f>
        <v>#DIV/0!</v>
      </c>
      <c r="V67" s="1" t="e">
        <f>AVERAGEIF(HighMeth[Retina],'Property Values'!$S67,HighMeth[BurstDuration])</f>
        <v>#DIV/0!</v>
      </c>
      <c r="W67" s="1" t="e">
        <f>AVERAGEIF(Recovery[Retina],$S67,Recovery[BurstDuration])</f>
        <v>#DIV/0!</v>
      </c>
    </row>
    <row r="68" spans="1:23" x14ac:dyDescent="0.25">
      <c r="A68" s="5" t="s">
        <v>9</v>
      </c>
      <c r="B68" s="1" t="e">
        <f>C65/B65</f>
        <v>#DIV/0!</v>
      </c>
      <c r="S68" s="1">
        <v>6</v>
      </c>
      <c r="T68" s="1" t="e">
        <f>AVERAGEIF(Control[Retina],'Property Values'!$S68,Control[BurstDuration])</f>
        <v>#DIV/0!</v>
      </c>
      <c r="U68" s="1" t="e">
        <f>AVERAGEIF(LowMeth[Retina],'Property Values'!$S68,LowMeth[BurstDuration])</f>
        <v>#DIV/0!</v>
      </c>
      <c r="V68" s="1" t="e">
        <f>AVERAGEIF(HighMeth[Retina],'Property Values'!$S68,HighMeth[BurstDuration])</f>
        <v>#DIV/0!</v>
      </c>
      <c r="W68" s="1" t="e">
        <f>AVERAGEIF(Recovery[Retina],$S68,Recovery[BurstDuration])</f>
        <v>#DIV/0!</v>
      </c>
    </row>
    <row r="79" spans="1:23" x14ac:dyDescent="0.25">
      <c r="T79" s="1" t="s">
        <v>33</v>
      </c>
      <c r="U79" s="1" t="s">
        <v>31</v>
      </c>
      <c r="V79" s="1" t="s">
        <v>32</v>
      </c>
      <c r="W79" s="1" t="s">
        <v>14</v>
      </c>
    </row>
    <row r="80" spans="1:23" ht="15.75" thickBot="1" x14ac:dyDescent="0.3">
      <c r="A80" s="34" t="s">
        <v>12</v>
      </c>
      <c r="B80" s="34"/>
      <c r="C80" s="34"/>
      <c r="D80" s="34"/>
      <c r="E80" s="34"/>
      <c r="S80" s="1">
        <v>1</v>
      </c>
      <c r="T80" s="1" t="e">
        <f>AVERAGEIF(Control[Retina],'Property Values'!$S80,Control[PctSpikesInBursts])</f>
        <v>#DIV/0!</v>
      </c>
      <c r="U80" s="1" t="e">
        <f>AVERAGEIF(LowMeth[Retina],'Property Values'!$S80,LowMeth[PctSpikesInBursts])</f>
        <v>#DIV/0!</v>
      </c>
      <c r="V80" s="1" t="e">
        <f>AVERAGEIF(HighMeth[Retina],'Property Values'!$S80,HighMeth[PctSpikesInBursts])</f>
        <v>#DIV/0!</v>
      </c>
      <c r="W80" s="1" t="e">
        <f>AVERAGEIF(Recovery[Retina],$S80,Recovery[PctSpikesInBursts])</f>
        <v>#DIV/0!</v>
      </c>
    </row>
    <row r="81" spans="1:23" ht="15.75" thickBot="1" x14ac:dyDescent="0.3">
      <c r="A81" s="4"/>
      <c r="B81" s="25" t="s">
        <v>33</v>
      </c>
      <c r="C81" s="9" t="s">
        <v>31</v>
      </c>
      <c r="D81" s="9" t="s">
        <v>32</v>
      </c>
      <c r="E81" s="10" t="s">
        <v>14</v>
      </c>
      <c r="S81" s="1">
        <v>2</v>
      </c>
      <c r="T81" s="1" t="e">
        <f>AVERAGEIF(Control[Retina],'Property Values'!$S81,Control[PctSpikesInBursts])</f>
        <v>#DIV/0!</v>
      </c>
      <c r="U81" s="1" t="e">
        <f>AVERAGEIF(LowMeth[Retina],'Property Values'!$S81,LowMeth[PctSpikesInBursts])</f>
        <v>#DIV/0!</v>
      </c>
      <c r="V81" s="1" t="e">
        <f>AVERAGEIF(HighMeth[Retina],'Property Values'!$S81,HighMeth[PctSpikesInBursts])</f>
        <v>#DIV/0!</v>
      </c>
      <c r="W81" s="1" t="e">
        <f>AVERAGEIF(Recovery[Retina],$S81,Recovery[PctSpikesInBursts])</f>
        <v>#DIV/0!</v>
      </c>
    </row>
    <row r="82" spans="1:23" x14ac:dyDescent="0.25">
      <c r="A82" s="27" t="s">
        <v>6</v>
      </c>
      <c r="B82" s="25" t="e">
        <f>AVERAGE(Control[PctSpikesInBursts])</f>
        <v>#DIV/0!</v>
      </c>
      <c r="C82" s="9" t="e">
        <f>AVERAGE(LowMeth[PctSpikesInBursts])</f>
        <v>#DIV/0!</v>
      </c>
      <c r="D82" s="9" t="e">
        <f>AVERAGE(HighMeth[PctSpikesInBursts])</f>
        <v>#DIV/0!</v>
      </c>
      <c r="E82" s="10" t="e">
        <f>AVERAGEA(Recovery[PctSpikesInBursts])</f>
        <v>#DIV/0!</v>
      </c>
      <c r="S82" s="1">
        <v>3</v>
      </c>
      <c r="T82" s="1" t="e">
        <f>AVERAGEIF(Control[Retina],'Property Values'!$S82,Control[PctSpikesInBursts])</f>
        <v>#DIV/0!</v>
      </c>
      <c r="U82" s="1" t="e">
        <f>AVERAGEIF(LowMeth[Retina],'Property Values'!$S82,LowMeth[PctSpikesInBursts])</f>
        <v>#DIV/0!</v>
      </c>
      <c r="V82" s="1" t="e">
        <f>AVERAGEIF(HighMeth[Retina],'Property Values'!$S82,HighMeth[PctSpikesInBursts])</f>
        <v>#DIV/0!</v>
      </c>
      <c r="W82" s="1" t="e">
        <f>AVERAGEIF(Recovery[Retina],$S82,Recovery[PctSpikesInBursts])</f>
        <v>#DIV/0!</v>
      </c>
    </row>
    <row r="83" spans="1:23" ht="15.75" thickBot="1" x14ac:dyDescent="0.3">
      <c r="A83" s="28" t="s">
        <v>3</v>
      </c>
      <c r="B83" s="26" t="e">
        <f>_xlfn.STDEV.S(Control[PctSpikesInBursts])/SQRT(COUNT(Control[PctSpikesInBursts]))</f>
        <v>#DIV/0!</v>
      </c>
      <c r="C83" s="3" t="e">
        <f>_xlfn.STDEV.S(LowMeth[PctSpikesInBursts])/SQRT(COUNT(LowMeth[PctSpikesInBursts]))</f>
        <v>#DIV/0!</v>
      </c>
      <c r="D83" s="3" t="e">
        <f>_xlfn.STDEV.S(HighMeth[PctSpikesInBursts])/SQRT(COUNT(HighMeth[PctSpikesInBursts]))</f>
        <v>#DIV/0!</v>
      </c>
      <c r="E83" s="2" t="e">
        <f>_xlfn.STDEV.S(Recovery[PctSpikesInBursts])/SQRT(COUNT(Recovery[PctSpikesInBursts]))</f>
        <v>#DIV/0!</v>
      </c>
      <c r="S83" s="1">
        <v>4</v>
      </c>
      <c r="T83" s="1" t="e">
        <f>AVERAGEIF(Control[Retina],'Property Values'!$S83,Control[PctSpikesInBursts])</f>
        <v>#DIV/0!</v>
      </c>
      <c r="U83" s="1" t="e">
        <f>AVERAGEIF(LowMeth[Retina],'Property Values'!$S83,LowMeth[PctSpikesInBursts])</f>
        <v>#DIV/0!</v>
      </c>
      <c r="V83" s="1" t="e">
        <f>AVERAGEIF(HighMeth[Retina],'Property Values'!$S83,HighMeth[PctSpikesInBursts])</f>
        <v>#DIV/0!</v>
      </c>
      <c r="W83" s="1" t="e">
        <f>AVERAGEIF(Recovery[Retina],$S83,Recovery[PctSpikesInBursts])</f>
        <v>#DIV/0!</v>
      </c>
    </row>
    <row r="84" spans="1:23" x14ac:dyDescent="0.25">
      <c r="A84" s="5" t="s">
        <v>8</v>
      </c>
      <c r="B84" s="1" t="e">
        <f>(C82-B82)/B82*100</f>
        <v>#DIV/0!</v>
      </c>
      <c r="S84" s="1">
        <v>5</v>
      </c>
      <c r="T84" s="1" t="e">
        <f>AVERAGEIF(Control[Retina],'Property Values'!$S84,Control[PctSpikesInBursts])</f>
        <v>#DIV/0!</v>
      </c>
      <c r="U84" s="1" t="e">
        <f>AVERAGEIF(LowMeth[Retina],'Property Values'!$S84,LowMeth[PctSpikesInBursts])</f>
        <v>#DIV/0!</v>
      </c>
      <c r="V84" s="1" t="e">
        <f>AVERAGEIF(HighMeth[Retina],'Property Values'!$S84,HighMeth[PctSpikesInBursts])</f>
        <v>#DIV/0!</v>
      </c>
      <c r="W84" s="1" t="e">
        <f>AVERAGEIF(Recovery[Retina],$S84,Recovery[PctSpikesInBursts])</f>
        <v>#DIV/0!</v>
      </c>
    </row>
    <row r="85" spans="1:23" x14ac:dyDescent="0.25">
      <c r="A85" s="5" t="s">
        <v>9</v>
      </c>
      <c r="B85" s="1" t="e">
        <f>C82/B82</f>
        <v>#DIV/0!</v>
      </c>
      <c r="S85" s="1">
        <v>6</v>
      </c>
      <c r="T85" s="1" t="e">
        <f>AVERAGEIF(Control[Retina],'Property Values'!$S85,Control[PctSpikesInBursts])</f>
        <v>#DIV/0!</v>
      </c>
      <c r="U85" s="1" t="e">
        <f>AVERAGEIF(LowMeth[Retina],'Property Values'!$S85,LowMeth[PctSpikesInBursts])</f>
        <v>#DIV/0!</v>
      </c>
      <c r="V85" s="1" t="e">
        <f>AVERAGEIF(HighMeth[Retina],'Property Values'!$S85,HighMeth[PctSpikesInBursts])</f>
        <v>#DIV/0!</v>
      </c>
      <c r="W85" s="1" t="e">
        <f>AVERAGEIF(Recovery[Retina],$S85,Recovery[PctSpikesInBursts])</f>
        <v>#DIV/0!</v>
      </c>
    </row>
    <row r="94" spans="1:23" ht="15.75" thickBot="1" x14ac:dyDescent="0.3">
      <c r="A94" s="34" t="s">
        <v>18</v>
      </c>
      <c r="B94" s="34"/>
      <c r="C94" s="34"/>
      <c r="D94" s="34"/>
      <c r="E94" s="34"/>
      <c r="T94" s="1" t="s">
        <v>33</v>
      </c>
      <c r="U94" s="1" t="s">
        <v>31</v>
      </c>
      <c r="V94" s="1" t="s">
        <v>32</v>
      </c>
      <c r="W94" s="1" t="s">
        <v>14</v>
      </c>
    </row>
    <row r="95" spans="1:23" ht="15.75" thickBot="1" x14ac:dyDescent="0.3">
      <c r="A95" s="4"/>
      <c r="B95" s="29" t="s">
        <v>33</v>
      </c>
      <c r="C95" s="30" t="s">
        <v>31</v>
      </c>
      <c r="D95" s="30" t="s">
        <v>32</v>
      </c>
      <c r="E95" s="31" t="s">
        <v>14</v>
      </c>
      <c r="S95" s="1">
        <v>1</v>
      </c>
      <c r="T95" s="1" t="e">
        <f>AVERAGEIF(Control[Retina],'Property Values'!$S95,Control[InBurstFiringRate])</f>
        <v>#DIV/0!</v>
      </c>
      <c r="U95" s="1" t="e">
        <f>AVERAGEIF(LowMeth[Retina],'Property Values'!$S95,LowMeth[InBurstFiringRate])</f>
        <v>#DIV/0!</v>
      </c>
      <c r="V95" s="1" t="e">
        <f>AVERAGEIF(HighMeth[Retina],'Property Values'!$S95,HighMeth[InBurstFiringRate])</f>
        <v>#DIV/0!</v>
      </c>
      <c r="W95" s="1" t="e">
        <f>AVERAGEIF(Recovery[Retina],$S95,Recovery[InBurstFiringRate])</f>
        <v>#DIV/0!</v>
      </c>
    </row>
    <row r="96" spans="1:23" x14ac:dyDescent="0.25">
      <c r="A96" s="27" t="s">
        <v>6</v>
      </c>
      <c r="B96" s="25" t="e">
        <f>AVERAGE(Control[InBurstFiringRate])</f>
        <v>#DIV/0!</v>
      </c>
      <c r="C96" s="9" t="e">
        <f>AVERAGE(LowMeth[InBurstFiringRate])</f>
        <v>#DIV/0!</v>
      </c>
      <c r="D96" s="9" t="e">
        <f>AVERAGE(HighMeth[InBurstFiringRate])</f>
        <v>#DIV/0!</v>
      </c>
      <c r="E96" s="10" t="e">
        <f>AVERAGEA(Recovery[InBurstFiringRate])</f>
        <v>#DIV/0!</v>
      </c>
      <c r="S96" s="1">
        <v>2</v>
      </c>
      <c r="T96" s="1" t="e">
        <f>AVERAGEIF(Control[Retina],'Property Values'!$S96,Control[InBurstFiringRate])</f>
        <v>#DIV/0!</v>
      </c>
      <c r="U96" s="1" t="e">
        <f>AVERAGEIF(LowMeth[Retina],'Property Values'!$S96,LowMeth[InBurstFiringRate])</f>
        <v>#DIV/0!</v>
      </c>
      <c r="V96" s="1" t="e">
        <f>AVERAGEIF(HighMeth[Retina],'Property Values'!$S96,HighMeth[InBurstFiringRate])</f>
        <v>#DIV/0!</v>
      </c>
      <c r="W96" s="1" t="e">
        <f>AVERAGEIF(Recovery[Retina],$S96,Recovery[InBurstFiringRate])</f>
        <v>#DIV/0!</v>
      </c>
    </row>
    <row r="97" spans="1:23" ht="15.75" thickBot="1" x14ac:dyDescent="0.3">
      <c r="A97" s="28" t="s">
        <v>3</v>
      </c>
      <c r="B97" s="26" t="e">
        <f>_xlfn.STDEV.S(Control[InBurstFiringRate])/SQRT(COUNT(Control[InBurstFiringRate]))</f>
        <v>#DIV/0!</v>
      </c>
      <c r="C97" s="3" t="e">
        <f>_xlfn.STDEV.S(LowMeth[InBurstFiringRate])/SQRT(COUNT(LowMeth[InBurstFiringRate]))</f>
        <v>#DIV/0!</v>
      </c>
      <c r="D97" s="3" t="e">
        <f>_xlfn.STDEV.S(HighMeth[InBurstFiringRate])/SQRT(COUNT(HighMeth[InBurstFiringRate]))</f>
        <v>#DIV/0!</v>
      </c>
      <c r="E97" s="2" t="e">
        <f>_xlfn.STDEV.S(Recovery[InBurstFiringRate])/SQRT(COUNT(Recovery[InBurstFiringRate]))</f>
        <v>#DIV/0!</v>
      </c>
      <c r="S97" s="1">
        <v>3</v>
      </c>
      <c r="T97" s="1" t="e">
        <f>AVERAGEIF(Control[Retina],'Property Values'!$S97,Control[InBurstFiringRate])</f>
        <v>#DIV/0!</v>
      </c>
      <c r="U97" s="1" t="e">
        <f>AVERAGEIF(LowMeth[Retina],'Property Values'!$S97,LowMeth[InBurstFiringRate])</f>
        <v>#DIV/0!</v>
      </c>
      <c r="V97" s="1" t="e">
        <f>AVERAGEIF(HighMeth[Retina],'Property Values'!$S97,HighMeth[InBurstFiringRate])</f>
        <v>#DIV/0!</v>
      </c>
      <c r="W97" s="1" t="e">
        <f>AVERAGEIF(Recovery[Retina],$S97,Recovery[InBurstFiringRate])</f>
        <v>#DIV/0!</v>
      </c>
    </row>
    <row r="98" spans="1:23" x14ac:dyDescent="0.25">
      <c r="A98" s="5" t="s">
        <v>8</v>
      </c>
      <c r="B98" s="1" t="e">
        <f>(C96-B96)/B96*100</f>
        <v>#DIV/0!</v>
      </c>
      <c r="S98" s="1">
        <v>4</v>
      </c>
      <c r="T98" s="1" t="e">
        <f>AVERAGEIF(Control[Retina],'Property Values'!$S98,Control[InBurstFiringRate])</f>
        <v>#DIV/0!</v>
      </c>
      <c r="U98" s="1" t="e">
        <f>AVERAGEIF(LowMeth[Retina],'Property Values'!$S98,LowMeth[InBurstFiringRate])</f>
        <v>#DIV/0!</v>
      </c>
      <c r="V98" s="1" t="e">
        <f>AVERAGEIF(HighMeth[Retina],'Property Values'!$S98,HighMeth[InBurstFiringRate])</f>
        <v>#DIV/0!</v>
      </c>
      <c r="W98" s="1" t="e">
        <f>AVERAGEIF(Recovery[Retina],$S98,Recovery[InBurstFiringRate])</f>
        <v>#DIV/0!</v>
      </c>
    </row>
    <row r="99" spans="1:23" x14ac:dyDescent="0.25">
      <c r="A99" s="5" t="s">
        <v>9</v>
      </c>
      <c r="B99" s="1" t="e">
        <f>C96/B96</f>
        <v>#DIV/0!</v>
      </c>
      <c r="S99" s="1">
        <v>5</v>
      </c>
      <c r="T99" s="1" t="e">
        <f>AVERAGEIF(Control[Retina],'Property Values'!$S99,Control[InBurstFiringRate])</f>
        <v>#DIV/0!</v>
      </c>
      <c r="U99" s="1" t="e">
        <f>AVERAGEIF(LowMeth[Retina],'Property Values'!$S99,LowMeth[InBurstFiringRate])</f>
        <v>#DIV/0!</v>
      </c>
      <c r="V99" s="1" t="e">
        <f>AVERAGEIF(HighMeth[Retina],'Property Values'!$S99,HighMeth[InBurstFiringRate])</f>
        <v>#DIV/0!</v>
      </c>
      <c r="W99" s="1" t="e">
        <f>AVERAGEIF(Recovery[Retina],$S99,Recovery[InBurstFiringRate])</f>
        <v>#DIV/0!</v>
      </c>
    </row>
    <row r="100" spans="1:23" x14ac:dyDescent="0.25">
      <c r="S100" s="1">
        <v>6</v>
      </c>
      <c r="T100" s="1" t="e">
        <f>AVERAGEIF(Control[Retina],'Property Values'!$S100,Control[InBurstFiringRate])</f>
        <v>#DIV/0!</v>
      </c>
      <c r="U100" s="1" t="e">
        <f>AVERAGEIF(LowMeth[Retina],'Property Values'!$S100,LowMeth[InBurstFiringRate])</f>
        <v>#DIV/0!</v>
      </c>
      <c r="V100" s="1" t="e">
        <f>AVERAGEIF(HighMeth[Retina],'Property Values'!$S100,HighMeth[InBurstFiringRate])</f>
        <v>#DIV/0!</v>
      </c>
      <c r="W100" s="1" t="e">
        <f>AVERAGEIF(Recovery[Retina],$S100,Recovery[InBurstFiringRate])</f>
        <v>#DIV/0!</v>
      </c>
    </row>
    <row r="108" spans="1:23" ht="15.75" thickBot="1" x14ac:dyDescent="0.3">
      <c r="A108" s="34" t="s">
        <v>19</v>
      </c>
      <c r="B108" s="34"/>
      <c r="C108" s="34"/>
      <c r="D108" s="34"/>
      <c r="E108" s="34"/>
    </row>
    <row r="109" spans="1:23" ht="15.75" thickBot="1" x14ac:dyDescent="0.3">
      <c r="A109" s="4"/>
      <c r="B109" s="29" t="s">
        <v>33</v>
      </c>
      <c r="C109" s="30" t="s">
        <v>31</v>
      </c>
      <c r="D109" s="30" t="s">
        <v>32</v>
      </c>
      <c r="E109" s="31" t="s">
        <v>14</v>
      </c>
      <c r="T109" s="1" t="s">
        <v>33</v>
      </c>
      <c r="U109" s="1" t="s">
        <v>31</v>
      </c>
      <c r="V109" s="1" t="s">
        <v>32</v>
      </c>
      <c r="W109" s="1" t="s">
        <v>14</v>
      </c>
    </row>
    <row r="110" spans="1:23" x14ac:dyDescent="0.25">
      <c r="A110" s="27" t="s">
        <v>6</v>
      </c>
      <c r="B110" s="25" t="e">
        <f>AVERAGE(Control[PeakInBurstFiringRate])</f>
        <v>#DIV/0!</v>
      </c>
      <c r="C110" s="9" t="e">
        <f>AVERAGE(LowMeth[PeakInBurstFiringRate])</f>
        <v>#DIV/0!</v>
      </c>
      <c r="D110" s="9" t="e">
        <f>AVERAGE(HighMeth[PeakInBurstFiringRate])</f>
        <v>#DIV/0!</v>
      </c>
      <c r="E110" s="10" t="e">
        <f>AVERAGEA(Recovery[PeakInBurstFiringRate])</f>
        <v>#DIV/0!</v>
      </c>
      <c r="S110" s="1">
        <v>1</v>
      </c>
      <c r="T110" s="1" t="e">
        <f>AVERAGEIF(Control[Retina],'Property Values'!$S110,Control[PeakInBurstFiringRate])</f>
        <v>#DIV/0!</v>
      </c>
      <c r="U110" s="1" t="e">
        <f>AVERAGEIF(LowMeth[Retina],'Property Values'!$S110,LowMeth[PeakInBurstFiringRate])</f>
        <v>#DIV/0!</v>
      </c>
      <c r="V110" s="1" t="e">
        <f>AVERAGEIF(HighMeth[Retina],'Property Values'!$S110,HighMeth[PeakInBurstFiringRate])</f>
        <v>#DIV/0!</v>
      </c>
      <c r="W110" s="1" t="e">
        <f>AVERAGEIF(Recovery[Retina],$S110,Recovery[PeakInBurstFiringRate])</f>
        <v>#DIV/0!</v>
      </c>
    </row>
    <row r="111" spans="1:23" ht="15.75" thickBot="1" x14ac:dyDescent="0.3">
      <c r="A111" s="28" t="s">
        <v>3</v>
      </c>
      <c r="B111" s="26" t="e">
        <f>_xlfn.STDEV.S(Control[PeakInBurstFiringRate])/SQRT(COUNT(Control[PeakInBurstFiringRate]))</f>
        <v>#DIV/0!</v>
      </c>
      <c r="C111" s="3" t="e">
        <f>_xlfn.STDEV.S(LowMeth[PeakInBurstFiringRate])/SQRT(COUNT(LowMeth[PeakInBurstFiringRate]))</f>
        <v>#DIV/0!</v>
      </c>
      <c r="D111" s="3" t="e">
        <f>_xlfn.STDEV.S(HighMeth[PeakInBurstFiringRate])/SQRT(COUNT(HighMeth[PeakInBurstFiringRate]))</f>
        <v>#DIV/0!</v>
      </c>
      <c r="E111" s="2" t="e">
        <f>_xlfn.STDEV.S(Recovery[PeakInBurstFiringRate])/SQRT(COUNT(Recovery[PeakInBurstFiringRate]))</f>
        <v>#DIV/0!</v>
      </c>
      <c r="S111" s="1">
        <v>2</v>
      </c>
      <c r="T111" s="1" t="e">
        <f>AVERAGEIF(Control[Retina],'Property Values'!$S111,Control[PeakInBurstFiringRate])</f>
        <v>#DIV/0!</v>
      </c>
      <c r="U111" s="1" t="e">
        <f>AVERAGEIF(LowMeth[Retina],'Property Values'!$S111,LowMeth[PeakInBurstFiringRate])</f>
        <v>#DIV/0!</v>
      </c>
      <c r="V111" s="1" t="e">
        <f>AVERAGEIF(HighMeth[Retina],'Property Values'!$S111,HighMeth[PeakInBurstFiringRate])</f>
        <v>#DIV/0!</v>
      </c>
      <c r="W111" s="1" t="e">
        <f>AVERAGEIF(Recovery[Retina],$S111,Recovery[PeakInBurstFiringRate])</f>
        <v>#DIV/0!</v>
      </c>
    </row>
    <row r="112" spans="1:23" x14ac:dyDescent="0.25">
      <c r="A112" s="5" t="s">
        <v>8</v>
      </c>
      <c r="B112" s="1" t="e">
        <f>(C110-B110)/B110*100</f>
        <v>#DIV/0!</v>
      </c>
      <c r="S112" s="1">
        <v>3</v>
      </c>
      <c r="T112" s="1" t="e">
        <f>AVERAGEIF(Control[Retina],'Property Values'!$S112,Control[PeakInBurstFiringRate])</f>
        <v>#DIV/0!</v>
      </c>
      <c r="U112" s="1" t="e">
        <f>AVERAGEIF(LowMeth[Retina],'Property Values'!$S112,LowMeth[PeakInBurstFiringRate])</f>
        <v>#DIV/0!</v>
      </c>
      <c r="V112" s="1" t="e">
        <f>AVERAGEIF(HighMeth[Retina],'Property Values'!$S112,HighMeth[PeakInBurstFiringRate])</f>
        <v>#DIV/0!</v>
      </c>
      <c r="W112" s="1" t="e">
        <f>AVERAGEIF(Recovery[Retina],$S112,Recovery[PeakInBurstFiringRate])</f>
        <v>#DIV/0!</v>
      </c>
    </row>
    <row r="113" spans="1:23" x14ac:dyDescent="0.25">
      <c r="A113" s="5" t="s">
        <v>9</v>
      </c>
      <c r="B113" s="1" t="e">
        <f>C110/B110</f>
        <v>#DIV/0!</v>
      </c>
      <c r="S113" s="1">
        <v>4</v>
      </c>
      <c r="T113" s="1" t="e">
        <f>AVERAGEIF(Control[Retina],'Property Values'!$S113,Control[PeakInBurstFiringRate])</f>
        <v>#DIV/0!</v>
      </c>
      <c r="U113" s="1" t="e">
        <f>AVERAGEIF(LowMeth[Retina],'Property Values'!$S113,LowMeth[PeakInBurstFiringRate])</f>
        <v>#DIV/0!</v>
      </c>
      <c r="V113" s="1" t="e">
        <f>AVERAGEIF(HighMeth[Retina],'Property Values'!$S113,HighMeth[PeakInBurstFiringRate])</f>
        <v>#DIV/0!</v>
      </c>
      <c r="W113" s="1" t="e">
        <f>AVERAGEIF(Recovery[Retina],$S113,Recovery[PeakInBurstFiringRate])</f>
        <v>#DIV/0!</v>
      </c>
    </row>
    <row r="114" spans="1:23" x14ac:dyDescent="0.25">
      <c r="S114" s="1">
        <v>5</v>
      </c>
      <c r="T114" s="1" t="e">
        <f>AVERAGEIF(Control[Retina],'Property Values'!$S114,Control[PeakInBurstFiringRate])</f>
        <v>#DIV/0!</v>
      </c>
      <c r="U114" s="1" t="e">
        <f>AVERAGEIF(LowMeth[Retina],'Property Values'!$S114,LowMeth[PeakInBurstFiringRate])</f>
        <v>#DIV/0!</v>
      </c>
      <c r="V114" s="1" t="e">
        <f>AVERAGEIF(HighMeth[Retina],'Property Values'!$S114,HighMeth[PeakInBurstFiringRate])</f>
        <v>#DIV/0!</v>
      </c>
      <c r="W114" s="1" t="e">
        <f>AVERAGEIF(Recovery[Retina],$S114,Recovery[PeakInBurstFiringRate])</f>
        <v>#DIV/0!</v>
      </c>
    </row>
    <row r="115" spans="1:23" x14ac:dyDescent="0.25">
      <c r="S115" s="1">
        <v>6</v>
      </c>
      <c r="T115" s="1" t="e">
        <f>AVERAGEIF(Control[Retina],'Property Values'!$S115,Control[PeakInBurstFiringRate])</f>
        <v>#DIV/0!</v>
      </c>
      <c r="U115" s="1" t="e">
        <f>AVERAGEIF(LowMeth[Retina],'Property Values'!$S115,LowMeth[PeakInBurstFiringRate])</f>
        <v>#DIV/0!</v>
      </c>
      <c r="V115" s="1" t="e">
        <f>AVERAGEIF(HighMeth[Retina],'Property Values'!$S115,HighMeth[PeakInBurstFiringRate])</f>
        <v>#DIV/0!</v>
      </c>
      <c r="W115" s="1" t="e">
        <f>AVERAGEIF(Recovery[Retina],$S115,Recovery[PeakInBurstFiringRate])</f>
        <v>#DIV/0!</v>
      </c>
    </row>
    <row r="122" spans="1:23" ht="15.75" thickBot="1" x14ac:dyDescent="0.3">
      <c r="A122" s="34" t="s">
        <v>20</v>
      </c>
      <c r="B122" s="34"/>
      <c r="C122" s="34"/>
      <c r="D122" s="34"/>
      <c r="E122" s="34"/>
      <c r="T122" s="1" t="s">
        <v>33</v>
      </c>
      <c r="U122" s="1" t="s">
        <v>31</v>
      </c>
      <c r="V122" s="1" t="s">
        <v>32</v>
      </c>
      <c r="W122" s="1" t="s">
        <v>14</v>
      </c>
    </row>
    <row r="123" spans="1:23" ht="15.75" thickBot="1" x14ac:dyDescent="0.3">
      <c r="A123" s="4"/>
      <c r="B123" s="29" t="s">
        <v>33</v>
      </c>
      <c r="C123" s="30" t="s">
        <v>31</v>
      </c>
      <c r="D123" s="30" t="s">
        <v>32</v>
      </c>
      <c r="E123" s="31" t="s">
        <v>14</v>
      </c>
      <c r="S123" s="1">
        <v>1</v>
      </c>
      <c r="T123" s="1" t="e">
        <f>AVERAGEIF(Control[Retina],'Property Values'!$S123,Control[BurstISI])</f>
        <v>#DIV/0!</v>
      </c>
      <c r="U123" s="1" t="e">
        <f>AVERAGEIF(LowMeth[Retina],'Property Values'!$S123,LowMeth[BurstISI])</f>
        <v>#DIV/0!</v>
      </c>
      <c r="V123" s="1" t="e">
        <f>AVERAGEIF(HighMeth[Retina],'Property Values'!$S123,HighMeth[BurstISI])</f>
        <v>#DIV/0!</v>
      </c>
      <c r="W123" s="1" t="e">
        <f>AVERAGEIF(Recovery[Retina],$S123,Recovery[BurstISI])</f>
        <v>#DIV/0!</v>
      </c>
    </row>
    <row r="124" spans="1:23" x14ac:dyDescent="0.25">
      <c r="A124" s="27" t="s">
        <v>6</v>
      </c>
      <c r="B124" s="25" t="e">
        <f>AVERAGE(Control[BurstISI])</f>
        <v>#DIV/0!</v>
      </c>
      <c r="C124" s="9" t="e">
        <f>AVERAGE(LowMeth[BurstISI])</f>
        <v>#DIV/0!</v>
      </c>
      <c r="D124" s="9" t="e">
        <f>AVERAGE(HighMeth[BurstISI])</f>
        <v>#DIV/0!</v>
      </c>
      <c r="E124" s="10" t="e">
        <f>AVERAGEA(Recovery[BurstISI])</f>
        <v>#DIV/0!</v>
      </c>
      <c r="S124" s="1">
        <v>2</v>
      </c>
      <c r="T124" s="1" t="e">
        <f>AVERAGEIF(Control[Retina],'Property Values'!$S124,Control[BurstISI])</f>
        <v>#DIV/0!</v>
      </c>
      <c r="U124" s="1" t="e">
        <f>AVERAGEIF(LowMeth[Retina],'Property Values'!$S124,LowMeth[BurstISI])</f>
        <v>#DIV/0!</v>
      </c>
      <c r="V124" s="1" t="e">
        <f>AVERAGEIF(HighMeth[Retina],'Property Values'!$S124,HighMeth[BurstISI])</f>
        <v>#DIV/0!</v>
      </c>
      <c r="W124" s="1" t="e">
        <f>AVERAGEIF(Recovery[Retina],$S124,Recovery[BurstISI])</f>
        <v>#DIV/0!</v>
      </c>
    </row>
    <row r="125" spans="1:23" ht="15.75" thickBot="1" x14ac:dyDescent="0.3">
      <c r="A125" s="28" t="s">
        <v>3</v>
      </c>
      <c r="B125" s="26" t="e">
        <f>_xlfn.STDEV.S(Control[BurstISI])/SQRT(COUNT(Control[BurstISI]))</f>
        <v>#DIV/0!</v>
      </c>
      <c r="C125" s="3" t="e">
        <f>_xlfn.STDEV.S(LowMeth[BurstISI])/SQRT(COUNT(LowMeth[BurstISI]))</f>
        <v>#DIV/0!</v>
      </c>
      <c r="D125" s="3" t="e">
        <f>_xlfn.STDEV.S(HighMeth[BurstISI])/SQRT(COUNT(HighMeth[BurstISI]))</f>
        <v>#DIV/0!</v>
      </c>
      <c r="E125" s="2" t="e">
        <f>_xlfn.STDEV.S(Recovery[BurstISI])/SQRT(COUNT(Recovery[BurstISI]))</f>
        <v>#DIV/0!</v>
      </c>
      <c r="S125" s="1">
        <v>3</v>
      </c>
      <c r="T125" s="1" t="e">
        <f>AVERAGEIF(Control[Retina],'Property Values'!$S125,Control[BurstISI])</f>
        <v>#DIV/0!</v>
      </c>
      <c r="U125" s="1" t="e">
        <f>AVERAGEIF(LowMeth[Retina],'Property Values'!$S125,LowMeth[BurstISI])</f>
        <v>#DIV/0!</v>
      </c>
      <c r="V125" s="1" t="e">
        <f>AVERAGEIF(HighMeth[Retina],'Property Values'!$S125,HighMeth[BurstISI])</f>
        <v>#DIV/0!</v>
      </c>
      <c r="W125" s="1" t="e">
        <f>AVERAGEIF(Recovery[Retina],$S125,Recovery[BurstISI])</f>
        <v>#DIV/0!</v>
      </c>
    </row>
    <row r="126" spans="1:23" x14ac:dyDescent="0.25">
      <c r="A126" s="5" t="s">
        <v>8</v>
      </c>
      <c r="B126" s="1" t="e">
        <f>(C124-B124)/B124*100</f>
        <v>#DIV/0!</v>
      </c>
      <c r="S126" s="1">
        <v>4</v>
      </c>
      <c r="T126" s="1" t="e">
        <f>AVERAGEIF(Control[Retina],'Property Values'!$S126,Control[BurstISI])</f>
        <v>#DIV/0!</v>
      </c>
      <c r="U126" s="1" t="e">
        <f>AVERAGEIF(LowMeth[Retina],'Property Values'!$S126,LowMeth[BurstISI])</f>
        <v>#DIV/0!</v>
      </c>
      <c r="V126" s="1" t="e">
        <f>AVERAGEIF(HighMeth[Retina],'Property Values'!$S126,HighMeth[BurstISI])</f>
        <v>#DIV/0!</v>
      </c>
      <c r="W126" s="1" t="e">
        <f>AVERAGEIF(Recovery[Retina],$S126,Recovery[BurstISI])</f>
        <v>#DIV/0!</v>
      </c>
    </row>
    <row r="127" spans="1:23" x14ac:dyDescent="0.25">
      <c r="A127" s="5" t="s">
        <v>9</v>
      </c>
      <c r="B127" s="1" t="e">
        <f>C124/B124</f>
        <v>#DIV/0!</v>
      </c>
      <c r="S127" s="1">
        <v>5</v>
      </c>
      <c r="T127" s="1" t="e">
        <f>AVERAGEIF(Control[Retina],'Property Values'!$S127,Control[BurstISI])</f>
        <v>#DIV/0!</v>
      </c>
      <c r="U127" s="1" t="e">
        <f>AVERAGEIF(LowMeth[Retina],'Property Values'!$S127,LowMeth[BurstISI])</f>
        <v>#DIV/0!</v>
      </c>
      <c r="V127" s="1" t="e">
        <f>AVERAGEIF(HighMeth[Retina],'Property Values'!$S127,HighMeth[BurstISI])</f>
        <v>#DIV/0!</v>
      </c>
      <c r="W127" s="1" t="e">
        <f>AVERAGEIF(Recovery[Retina],$S127,Recovery[BurstISI])</f>
        <v>#DIV/0!</v>
      </c>
    </row>
    <row r="128" spans="1:23" x14ac:dyDescent="0.25">
      <c r="S128" s="1">
        <v>6</v>
      </c>
      <c r="T128" s="1" t="e">
        <f>AVERAGEIF(Control[Retina],'Property Values'!$S128,Control[BurstISI])</f>
        <v>#DIV/0!</v>
      </c>
      <c r="U128" s="1" t="e">
        <f>AVERAGEIF(LowMeth[Retina],'Property Values'!$S128,LowMeth[BurstISI])</f>
        <v>#DIV/0!</v>
      </c>
      <c r="V128" s="1" t="e">
        <f>AVERAGEIF(HighMeth[Retina],'Property Values'!$S128,HighMeth[BurstISI])</f>
        <v>#DIV/0!</v>
      </c>
      <c r="W128" s="1" t="e">
        <f>AVERAGEIF(Recovery[Retina],$S128,Recovery[BurstISI])</f>
        <v>#DIV/0!</v>
      </c>
    </row>
    <row r="139" spans="1:23" ht="15.75" thickBot="1" x14ac:dyDescent="0.3">
      <c r="A139" s="34" t="s">
        <v>21</v>
      </c>
      <c r="B139" s="34"/>
      <c r="C139" s="34"/>
      <c r="D139" s="34"/>
      <c r="E139" s="34"/>
      <c r="T139" s="1" t="s">
        <v>33</v>
      </c>
      <c r="U139" s="1" t="s">
        <v>31</v>
      </c>
      <c r="V139" s="1" t="s">
        <v>32</v>
      </c>
      <c r="W139" s="1" t="s">
        <v>14</v>
      </c>
    </row>
    <row r="140" spans="1:23" ht="15.75" thickBot="1" x14ac:dyDescent="0.3">
      <c r="A140" s="4"/>
      <c r="B140" s="29" t="s">
        <v>33</v>
      </c>
      <c r="C140" s="30" t="s">
        <v>31</v>
      </c>
      <c r="D140" s="30" t="s">
        <v>32</v>
      </c>
      <c r="E140" s="31" t="s">
        <v>14</v>
      </c>
      <c r="S140" s="1">
        <v>1</v>
      </c>
      <c r="T140" s="1" t="e">
        <f>AVERAGEIF(Control[Retina],'Property Values'!$S140,Control[SpikesInBurst])</f>
        <v>#DIV/0!</v>
      </c>
      <c r="U140" s="1" t="e">
        <f>AVERAGEIF(LowMeth[Retina],'Property Values'!$S140,LowMeth[SpikesInBurst])</f>
        <v>#DIV/0!</v>
      </c>
      <c r="V140" s="1" t="e">
        <f>AVERAGEIF(HighMeth[Retina],'Property Values'!$S140,HighMeth[SpikesInBurst])</f>
        <v>#DIV/0!</v>
      </c>
      <c r="W140" s="1" t="e">
        <f>AVERAGEIF(Recovery[Retina],$S140,Recovery[SpikesInBurst])</f>
        <v>#DIV/0!</v>
      </c>
    </row>
    <row r="141" spans="1:23" x14ac:dyDescent="0.25">
      <c r="A141" s="27" t="s">
        <v>6</v>
      </c>
      <c r="B141" s="25" t="e">
        <f>AVERAGE(Control[SpikesInBurst])</f>
        <v>#DIV/0!</v>
      </c>
      <c r="C141" s="9" t="e">
        <f>AVERAGE(LowMeth[SpikesInBurst])</f>
        <v>#DIV/0!</v>
      </c>
      <c r="D141" s="9" t="e">
        <f>AVERAGE(HighMeth[SpikesInBurst])</f>
        <v>#DIV/0!</v>
      </c>
      <c r="E141" s="10" t="e">
        <f>AVERAGEA(Recovery[SpikesInBurst])</f>
        <v>#DIV/0!</v>
      </c>
      <c r="S141" s="1">
        <v>2</v>
      </c>
      <c r="T141" s="1" t="e">
        <f>AVERAGEIF(Control[Retina],'Property Values'!$S141,Control[SpikesInBurst])</f>
        <v>#DIV/0!</v>
      </c>
      <c r="U141" s="1" t="e">
        <f>AVERAGEIF(LowMeth[Retina],'Property Values'!$S141,LowMeth[SpikesInBurst])</f>
        <v>#DIV/0!</v>
      </c>
      <c r="V141" s="1" t="e">
        <f>AVERAGEIF(HighMeth[Retina],'Property Values'!$S141,HighMeth[SpikesInBurst])</f>
        <v>#DIV/0!</v>
      </c>
      <c r="W141" s="1" t="e">
        <f>AVERAGEIF(Recovery[Retina],$S141,Recovery[SpikesInBurst])</f>
        <v>#DIV/0!</v>
      </c>
    </row>
    <row r="142" spans="1:23" ht="15.75" thickBot="1" x14ac:dyDescent="0.3">
      <c r="A142" s="28" t="s">
        <v>3</v>
      </c>
      <c r="B142" s="26" t="e">
        <f>_xlfn.STDEV.S(Control[SpikesInBurst])/SQRT(COUNT(Control[SpikesInBurst]))</f>
        <v>#DIV/0!</v>
      </c>
      <c r="C142" s="3" t="e">
        <f>_xlfn.STDEV.S(LowMeth[SpikesInBurst])/SQRT(COUNT(LowMeth[SpikesInBurst]))</f>
        <v>#DIV/0!</v>
      </c>
      <c r="D142" s="3" t="e">
        <f>_xlfn.STDEV.S(HighMeth[SpikesInBurst])/SQRT(COUNT(HighMeth[SpikesInBurst]))</f>
        <v>#DIV/0!</v>
      </c>
      <c r="E142" s="2" t="e">
        <f>_xlfn.STDEV.S(Recovery[SpikesInBurst])/SQRT(COUNT(Recovery[SpikesInBurst]))</f>
        <v>#DIV/0!</v>
      </c>
      <c r="S142" s="1">
        <v>3</v>
      </c>
      <c r="T142" s="1" t="e">
        <f>AVERAGEIF(Control[Retina],'Property Values'!$S142,Control[SpikesInBurst])</f>
        <v>#DIV/0!</v>
      </c>
      <c r="U142" s="1" t="e">
        <f>AVERAGEIF(LowMeth[Retina],'Property Values'!$S142,LowMeth[SpikesInBurst])</f>
        <v>#DIV/0!</v>
      </c>
      <c r="V142" s="1" t="e">
        <f>AVERAGEIF(HighMeth[Retina],'Property Values'!$S142,HighMeth[SpikesInBurst])</f>
        <v>#DIV/0!</v>
      </c>
      <c r="W142" s="1" t="e">
        <f>AVERAGEIF(Recovery[Retina],$S142,Recovery[SpikesInBurst])</f>
        <v>#DIV/0!</v>
      </c>
    </row>
    <row r="143" spans="1:23" x14ac:dyDescent="0.25">
      <c r="A143" s="5" t="s">
        <v>8</v>
      </c>
      <c r="B143" s="1" t="e">
        <f>(C141-B141)/B141*100</f>
        <v>#DIV/0!</v>
      </c>
      <c r="S143" s="1">
        <v>4</v>
      </c>
      <c r="T143" s="1" t="e">
        <f>AVERAGEIF(Control[Retina],'Property Values'!$S143,Control[SpikesInBurst])</f>
        <v>#DIV/0!</v>
      </c>
      <c r="U143" s="1" t="e">
        <f>AVERAGEIF(LowMeth[Retina],'Property Values'!$S143,LowMeth[SpikesInBurst])</f>
        <v>#DIV/0!</v>
      </c>
      <c r="V143" s="1" t="e">
        <f>AVERAGEIF(HighMeth[Retina],'Property Values'!$S143,HighMeth[SpikesInBurst])</f>
        <v>#DIV/0!</v>
      </c>
      <c r="W143" s="1" t="e">
        <f>AVERAGEIF(Recovery[Retina],$S143,Recovery[SpikesInBurst])</f>
        <v>#DIV/0!</v>
      </c>
    </row>
    <row r="144" spans="1:23" x14ac:dyDescent="0.25">
      <c r="A144" s="5" t="s">
        <v>9</v>
      </c>
      <c r="B144" s="1" t="e">
        <f>C141/B141</f>
        <v>#DIV/0!</v>
      </c>
      <c r="S144" s="1">
        <v>5</v>
      </c>
      <c r="T144" s="1" t="e">
        <f>AVERAGEIF(Control[Retina],'Property Values'!$S144,Control[SpikesInBurst])</f>
        <v>#DIV/0!</v>
      </c>
      <c r="U144" s="1" t="e">
        <f>AVERAGEIF(LowMeth[Retina],'Property Values'!$S144,LowMeth[SpikesInBurst])</f>
        <v>#DIV/0!</v>
      </c>
      <c r="V144" s="1" t="e">
        <f>AVERAGEIF(HighMeth[Retina],'Property Values'!$S144,HighMeth[SpikesInBurst])</f>
        <v>#DIV/0!</v>
      </c>
      <c r="W144" s="1" t="e">
        <f>AVERAGEIF(Recovery[Retina],$S144,Recovery[SpikesInBurst])</f>
        <v>#DIV/0!</v>
      </c>
    </row>
    <row r="145" spans="19:23" x14ac:dyDescent="0.25">
      <c r="S145" s="1">
        <v>6</v>
      </c>
      <c r="T145" s="1" t="e">
        <f>AVERAGEIF(Control[Retina],'Property Values'!$S145,Control[SpikesInBurst])</f>
        <v>#DIV/0!</v>
      </c>
      <c r="U145" s="1" t="e">
        <f>AVERAGEIF(LowMeth[Retina],'Property Values'!$S145,LowMeth[SpikesInBurst])</f>
        <v>#DIV/0!</v>
      </c>
      <c r="V145" s="1" t="e">
        <f>AVERAGEIF(HighMeth[Retina],'Property Values'!$S145,HighMeth[SpikesInBurst])</f>
        <v>#DIV/0!</v>
      </c>
      <c r="W145" s="1" t="e">
        <f>AVERAGEIF(Recovery[Retina],$S145,Recovery[SpikesInBurst])</f>
        <v>#DIV/0!</v>
      </c>
    </row>
  </sheetData>
  <mergeCells count="10">
    <mergeCell ref="A47:E47"/>
    <mergeCell ref="A32:E32"/>
    <mergeCell ref="A17:E17"/>
    <mergeCell ref="A1:E1"/>
    <mergeCell ref="A139:E139"/>
    <mergeCell ref="A122:E122"/>
    <mergeCell ref="A108:E108"/>
    <mergeCell ref="A94:E94"/>
    <mergeCell ref="A80:E80"/>
    <mergeCell ref="A63:E63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2"/>
  <sheetViews>
    <sheetView workbookViewId="0">
      <selection activeCell="B2" sqref="B2"/>
    </sheetView>
  </sheetViews>
  <sheetFormatPr defaultRowHeight="15" x14ac:dyDescent="0.25"/>
  <cols>
    <col min="1" max="1" width="11.28515625" style="5" bestFit="1" customWidth="1"/>
    <col min="2" max="2" width="14" style="1" bestFit="1" customWidth="1"/>
    <col min="3" max="3" width="26.140625" style="1" bestFit="1" customWidth="1"/>
    <col min="4" max="4" width="18.140625" style="1" bestFit="1" customWidth="1"/>
    <col min="5" max="5" width="25.7109375" style="1" bestFit="1" customWidth="1"/>
    <col min="6" max="6" width="13.42578125" style="1" bestFit="1" customWidth="1"/>
    <col min="7" max="7" width="24.140625" style="1" bestFit="1" customWidth="1"/>
    <col min="8" max="8" width="21.42578125" style="1" bestFit="1" customWidth="1"/>
    <col min="9" max="9" width="33.7109375" style="1" bestFit="1" customWidth="1"/>
    <col min="10" max="10" width="38.7109375" style="1" bestFit="1" customWidth="1"/>
    <col min="11" max="11" width="18.42578125" style="1" bestFit="1" customWidth="1"/>
    <col min="12" max="12" width="24.28515625" style="1" bestFit="1" customWidth="1"/>
    <col min="13" max="16384" width="9.140625" style="1"/>
  </cols>
  <sheetData>
    <row r="1" spans="1:12" x14ac:dyDescent="0.25">
      <c r="A1" s="5" t="s">
        <v>4</v>
      </c>
      <c r="B1" s="5" t="s">
        <v>5</v>
      </c>
      <c r="C1" s="5" t="s">
        <v>22</v>
      </c>
      <c r="D1" s="5" t="s">
        <v>10</v>
      </c>
      <c r="E1" s="5" t="s">
        <v>26</v>
      </c>
      <c r="F1" s="5" t="s">
        <v>23</v>
      </c>
      <c r="G1" s="5" t="s">
        <v>24</v>
      </c>
      <c r="H1" s="5" t="s">
        <v>25</v>
      </c>
      <c r="I1" s="5" t="s">
        <v>27</v>
      </c>
      <c r="J1" s="5" t="s">
        <v>28</v>
      </c>
      <c r="K1" s="5" t="s">
        <v>29</v>
      </c>
      <c r="L1" s="5" t="s">
        <v>30</v>
      </c>
    </row>
    <row r="2" spans="1:12" x14ac:dyDescent="0.25">
      <c r="A2" s="20"/>
      <c r="B2" s="8"/>
      <c r="C2" s="23"/>
      <c r="D2" s="23"/>
      <c r="E2" s="23"/>
      <c r="F2" s="23"/>
      <c r="G2" s="23"/>
      <c r="H2" s="23"/>
      <c r="I2" s="23"/>
      <c r="J2" s="23"/>
      <c r="K2" s="23"/>
      <c r="L2" s="23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2"/>
  <sheetViews>
    <sheetView workbookViewId="0">
      <selection activeCell="B2" sqref="B2"/>
    </sheetView>
  </sheetViews>
  <sheetFormatPr defaultRowHeight="15" x14ac:dyDescent="0.25"/>
  <cols>
    <col min="1" max="1" width="11.28515625" style="5" bestFit="1" customWidth="1"/>
    <col min="2" max="2" width="14" style="1" bestFit="1" customWidth="1"/>
    <col min="3" max="3" width="26.140625" style="1" bestFit="1" customWidth="1"/>
    <col min="4" max="4" width="18.140625" style="1" bestFit="1" customWidth="1"/>
    <col min="5" max="5" width="25.7109375" style="1" bestFit="1" customWidth="1"/>
    <col min="6" max="6" width="13.42578125" style="1" bestFit="1" customWidth="1"/>
    <col min="7" max="7" width="24.140625" style="1" bestFit="1" customWidth="1"/>
    <col min="8" max="8" width="21.42578125" style="1" bestFit="1" customWidth="1"/>
    <col min="9" max="9" width="33.7109375" style="1" bestFit="1" customWidth="1"/>
    <col min="10" max="10" width="38.7109375" style="1" bestFit="1" customWidth="1"/>
    <col min="11" max="11" width="18.42578125" style="1" bestFit="1" customWidth="1"/>
    <col min="12" max="12" width="23" style="1" bestFit="1" customWidth="1"/>
    <col min="13" max="16384" width="9.140625" style="1"/>
  </cols>
  <sheetData>
    <row r="1" spans="1:12" x14ac:dyDescent="0.25">
      <c r="A1" s="5" t="s">
        <v>4</v>
      </c>
      <c r="B1" s="5" t="s">
        <v>5</v>
      </c>
      <c r="C1" s="5" t="s">
        <v>22</v>
      </c>
      <c r="D1" s="5" t="s">
        <v>10</v>
      </c>
      <c r="E1" s="5" t="s">
        <v>26</v>
      </c>
      <c r="F1" s="5" t="s">
        <v>23</v>
      </c>
      <c r="G1" s="5" t="s">
        <v>24</v>
      </c>
      <c r="H1" s="5" t="s">
        <v>25</v>
      </c>
      <c r="I1" s="5" t="s">
        <v>27</v>
      </c>
      <c r="J1" s="5" t="s">
        <v>28</v>
      </c>
      <c r="K1" s="5" t="s">
        <v>29</v>
      </c>
      <c r="L1" s="5" t="s">
        <v>30</v>
      </c>
    </row>
    <row r="2" spans="1:12" x14ac:dyDescent="0.25">
      <c r="A2" s="8"/>
      <c r="B2" s="8"/>
      <c r="C2" s="23"/>
      <c r="D2" s="23"/>
      <c r="E2" s="23"/>
      <c r="F2" s="23"/>
      <c r="G2" s="23"/>
      <c r="H2" s="23"/>
      <c r="I2" s="23"/>
      <c r="J2" s="23"/>
      <c r="K2" s="23"/>
      <c r="L2" s="23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2"/>
  <sheetViews>
    <sheetView workbookViewId="0">
      <selection activeCell="B2" sqref="B2"/>
    </sheetView>
  </sheetViews>
  <sheetFormatPr defaultRowHeight="15" x14ac:dyDescent="0.25"/>
  <cols>
    <col min="1" max="1" width="11.28515625" style="6" bestFit="1" customWidth="1"/>
    <col min="2" max="2" width="14" style="7" bestFit="1" customWidth="1"/>
    <col min="3" max="3" width="26.140625" style="7" bestFit="1" customWidth="1"/>
    <col min="4" max="4" width="18.140625" style="7" bestFit="1" customWidth="1"/>
    <col min="5" max="5" width="25.7109375" style="7" bestFit="1" customWidth="1"/>
    <col min="6" max="6" width="13.42578125" style="7" bestFit="1" customWidth="1"/>
    <col min="7" max="7" width="24.140625" style="7" bestFit="1" customWidth="1"/>
    <col min="8" max="8" width="21.42578125" style="7" bestFit="1" customWidth="1"/>
    <col min="9" max="9" width="33.7109375" style="7" bestFit="1" customWidth="1"/>
    <col min="10" max="10" width="38.7109375" style="7" bestFit="1" customWidth="1"/>
    <col min="11" max="11" width="18.42578125" style="7" bestFit="1" customWidth="1"/>
    <col min="12" max="12" width="23" style="7" bestFit="1" customWidth="1"/>
    <col min="13" max="16384" width="9.140625" style="7"/>
  </cols>
  <sheetData>
    <row r="1" spans="1:12" x14ac:dyDescent="0.25">
      <c r="A1" s="5" t="s">
        <v>4</v>
      </c>
      <c r="B1" s="5" t="s">
        <v>5</v>
      </c>
      <c r="C1" s="5" t="s">
        <v>22</v>
      </c>
      <c r="D1" s="5" t="s">
        <v>10</v>
      </c>
      <c r="E1" s="5" t="s">
        <v>26</v>
      </c>
      <c r="F1" s="5" t="s">
        <v>23</v>
      </c>
      <c r="G1" s="5" t="s">
        <v>24</v>
      </c>
      <c r="H1" s="5" t="s">
        <v>25</v>
      </c>
      <c r="I1" s="5" t="s">
        <v>27</v>
      </c>
      <c r="J1" s="5" t="s">
        <v>28</v>
      </c>
      <c r="K1" s="5" t="s">
        <v>29</v>
      </c>
      <c r="L1" s="5" t="s">
        <v>30</v>
      </c>
    </row>
    <row r="2" spans="1:12" x14ac:dyDescent="0.25">
      <c r="A2" s="8"/>
      <c r="B2" s="8"/>
      <c r="C2" s="23"/>
      <c r="D2" s="23"/>
      <c r="E2" s="23"/>
      <c r="F2" s="23"/>
      <c r="G2" s="23"/>
      <c r="H2" s="23"/>
      <c r="I2" s="23"/>
      <c r="J2" s="23"/>
      <c r="K2" s="23"/>
      <c r="L2" s="23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workbookViewId="0">
      <selection activeCell="B2" sqref="B2"/>
    </sheetView>
  </sheetViews>
  <sheetFormatPr defaultRowHeight="15" x14ac:dyDescent="0.25"/>
  <cols>
    <col min="1" max="1" width="11.28515625" style="6" bestFit="1" customWidth="1"/>
    <col min="2" max="2" width="14" style="7" bestFit="1" customWidth="1"/>
    <col min="3" max="3" width="26.140625" style="7" bestFit="1" customWidth="1"/>
    <col min="4" max="4" width="18.140625" style="7" bestFit="1" customWidth="1"/>
    <col min="5" max="5" width="25.7109375" style="7" bestFit="1" customWidth="1"/>
    <col min="6" max="6" width="13.42578125" style="7" bestFit="1" customWidth="1"/>
    <col min="7" max="7" width="24.140625" style="7" bestFit="1" customWidth="1"/>
    <col min="8" max="8" width="21.42578125" style="7" bestFit="1" customWidth="1"/>
    <col min="9" max="9" width="33.7109375" style="7" bestFit="1" customWidth="1"/>
    <col min="10" max="10" width="38.7109375" style="7" bestFit="1" customWidth="1"/>
    <col min="11" max="11" width="18.42578125" style="7" bestFit="1" customWidth="1"/>
    <col min="12" max="12" width="23" style="7" bestFit="1" customWidth="1"/>
    <col min="13" max="16384" width="9.140625" style="7"/>
  </cols>
  <sheetData>
    <row r="1" spans="1:12" x14ac:dyDescent="0.25">
      <c r="A1" s="5" t="s">
        <v>4</v>
      </c>
      <c r="B1" s="5" t="s">
        <v>5</v>
      </c>
      <c r="C1" s="5" t="s">
        <v>22</v>
      </c>
      <c r="D1" s="5" t="s">
        <v>10</v>
      </c>
      <c r="E1" s="5" t="s">
        <v>26</v>
      </c>
      <c r="F1" s="5" t="s">
        <v>23</v>
      </c>
      <c r="G1" s="5" t="s">
        <v>24</v>
      </c>
      <c r="H1" s="5" t="s">
        <v>25</v>
      </c>
      <c r="I1" s="5" t="s">
        <v>27</v>
      </c>
      <c r="J1" s="5" t="s">
        <v>28</v>
      </c>
      <c r="K1" s="5" t="s">
        <v>29</v>
      </c>
      <c r="L1" s="5" t="s">
        <v>30</v>
      </c>
    </row>
    <row r="2" spans="1:12" x14ac:dyDescent="0.25">
      <c r="A2" s="8"/>
      <c r="B2" s="8"/>
      <c r="C2" s="23"/>
      <c r="D2" s="23"/>
      <c r="E2" s="23"/>
      <c r="F2" s="23"/>
      <c r="G2" s="23"/>
      <c r="H2" s="23"/>
      <c r="I2" s="23"/>
      <c r="J2" s="23"/>
      <c r="K2" s="23"/>
      <c r="L2" s="23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Contents</vt:lpstr>
      <vt:lpstr>mRGC Channels</vt:lpstr>
      <vt:lpstr>ANOVA Results</vt:lpstr>
      <vt:lpstr>Property Values</vt:lpstr>
      <vt:lpstr>Control</vt:lpstr>
      <vt:lpstr>LowMeth</vt:lpstr>
      <vt:lpstr>HighMeth</vt:lpstr>
      <vt:lpstr>Recovery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2014-11-03T03:25:12Z</dcterms:created>
  <dcterms:modified xsi:type="dcterms:W3CDTF">2015-08-19T08:24:06Z</dcterms:modified>
</cp:coreProperties>
</file>