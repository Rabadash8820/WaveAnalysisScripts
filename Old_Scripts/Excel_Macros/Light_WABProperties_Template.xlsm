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-15" yWindow="-15" windowWidth="14400" windowHeight="12855" tabRatio="665"/>
  </bookViews>
  <sheets>
    <sheet name="Contents" sheetId="9" r:id="rId1"/>
    <sheet name="Invalid Cells" sheetId="16" r:id="rId2"/>
    <sheet name="ANOVA Results" sheetId="12" r:id="rId3"/>
    <sheet name="Property Values" sheetId="2" r:id="rId4"/>
    <sheet name="Spike Time Tiling Coefficients" sheetId="15" r:id="rId5"/>
    <sheet name="WT_Dark" sheetId="6" r:id="rId6"/>
    <sheet name="WT_Light" sheetId="7" r:id="rId7"/>
    <sheet name="WT_DarkRecovery" sheetId="8" r:id="rId8"/>
  </sheets>
  <definedNames>
    <definedName name="numPops">'Invalid Cells'!#REF!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5" l="1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7" i="15"/>
  <c r="B8" i="15"/>
  <c r="B9" i="15"/>
  <c r="B10" i="15"/>
  <c r="B11" i="15"/>
  <c r="B12" i="15"/>
  <c r="B6" i="15"/>
  <c r="C3" i="2" l="1"/>
  <c r="T141" i="2" l="1"/>
  <c r="U141" i="2"/>
  <c r="V141" i="2"/>
  <c r="T142" i="2"/>
  <c r="U142" i="2"/>
  <c r="V142" i="2"/>
  <c r="T143" i="2"/>
  <c r="U143" i="2"/>
  <c r="V143" i="2"/>
  <c r="T144" i="2"/>
  <c r="U144" i="2"/>
  <c r="V144" i="2"/>
  <c r="T145" i="2"/>
  <c r="U145" i="2"/>
  <c r="V145" i="2"/>
  <c r="V140" i="2"/>
  <c r="U140" i="2"/>
  <c r="T140" i="2"/>
  <c r="D142" i="2"/>
  <c r="C142" i="2"/>
  <c r="B142" i="2"/>
  <c r="D141" i="2"/>
  <c r="C141" i="2"/>
  <c r="B141" i="2"/>
  <c r="B144" i="2" l="1"/>
  <c r="B143" i="2"/>
  <c r="T127" i="2"/>
  <c r="U127" i="2"/>
  <c r="V127" i="2"/>
  <c r="T128" i="2"/>
  <c r="U128" i="2"/>
  <c r="V128" i="2"/>
  <c r="T114" i="2"/>
  <c r="U114" i="2"/>
  <c r="V114" i="2"/>
  <c r="T115" i="2"/>
  <c r="U115" i="2"/>
  <c r="V115" i="2"/>
  <c r="T99" i="2"/>
  <c r="U99" i="2"/>
  <c r="V99" i="2"/>
  <c r="T100" i="2"/>
  <c r="U100" i="2"/>
  <c r="V100" i="2"/>
  <c r="T84" i="2"/>
  <c r="U84" i="2"/>
  <c r="V84" i="2"/>
  <c r="T85" i="2"/>
  <c r="U85" i="2"/>
  <c r="V85" i="2"/>
  <c r="T67" i="2"/>
  <c r="U67" i="2"/>
  <c r="V67" i="2"/>
  <c r="T68" i="2"/>
  <c r="U68" i="2"/>
  <c r="V68" i="2"/>
  <c r="T51" i="2"/>
  <c r="U51" i="2"/>
  <c r="V51" i="2"/>
  <c r="T52" i="2"/>
  <c r="U52" i="2"/>
  <c r="V52" i="2"/>
  <c r="T36" i="2"/>
  <c r="U36" i="2"/>
  <c r="V36" i="2"/>
  <c r="T37" i="2"/>
  <c r="U37" i="2"/>
  <c r="V37" i="2"/>
  <c r="T22" i="2"/>
  <c r="U22" i="2"/>
  <c r="V22" i="2"/>
  <c r="T23" i="2"/>
  <c r="U23" i="2"/>
  <c r="V23" i="2"/>
  <c r="T6" i="2"/>
  <c r="U6" i="2"/>
  <c r="V6" i="2"/>
  <c r="T7" i="2"/>
  <c r="U7" i="2"/>
  <c r="V7" i="2"/>
  <c r="D4" i="2" l="1"/>
  <c r="C4" i="2"/>
  <c r="B4" i="2"/>
  <c r="D3" i="2"/>
  <c r="B3" i="2"/>
  <c r="T3" i="2"/>
  <c r="U3" i="2"/>
  <c r="V3" i="2"/>
  <c r="T4" i="2"/>
  <c r="U4" i="2"/>
  <c r="V4" i="2"/>
  <c r="T5" i="2"/>
  <c r="U5" i="2"/>
  <c r="V5" i="2"/>
  <c r="V2" i="2"/>
  <c r="U2" i="2"/>
  <c r="T2" i="2"/>
  <c r="B19" i="2"/>
  <c r="B5" i="2" l="1"/>
  <c r="B6" i="2"/>
  <c r="T124" i="2"/>
  <c r="U124" i="2"/>
  <c r="V124" i="2"/>
  <c r="T125" i="2"/>
  <c r="U125" i="2"/>
  <c r="V125" i="2"/>
  <c r="T126" i="2"/>
  <c r="U126" i="2"/>
  <c r="V126" i="2"/>
  <c r="V123" i="2"/>
  <c r="U123" i="2"/>
  <c r="T123" i="2"/>
  <c r="T111" i="2"/>
  <c r="U111" i="2"/>
  <c r="V111" i="2"/>
  <c r="T112" i="2"/>
  <c r="U112" i="2"/>
  <c r="V112" i="2"/>
  <c r="T113" i="2"/>
  <c r="U113" i="2"/>
  <c r="V113" i="2"/>
  <c r="V110" i="2"/>
  <c r="U110" i="2"/>
  <c r="T110" i="2"/>
  <c r="T96" i="2"/>
  <c r="U96" i="2"/>
  <c r="V96" i="2"/>
  <c r="T97" i="2"/>
  <c r="U97" i="2"/>
  <c r="V97" i="2"/>
  <c r="T98" i="2"/>
  <c r="U98" i="2"/>
  <c r="V98" i="2"/>
  <c r="V95" i="2"/>
  <c r="U95" i="2"/>
  <c r="T95" i="2"/>
  <c r="T81" i="2"/>
  <c r="U81" i="2"/>
  <c r="V81" i="2"/>
  <c r="T82" i="2"/>
  <c r="U82" i="2"/>
  <c r="V82" i="2"/>
  <c r="T83" i="2"/>
  <c r="U83" i="2"/>
  <c r="V83" i="2"/>
  <c r="V80" i="2"/>
  <c r="U80" i="2"/>
  <c r="T80" i="2"/>
  <c r="T64" i="2"/>
  <c r="U64" i="2"/>
  <c r="V64" i="2"/>
  <c r="T65" i="2"/>
  <c r="U65" i="2"/>
  <c r="V65" i="2"/>
  <c r="T66" i="2"/>
  <c r="U66" i="2"/>
  <c r="V66" i="2"/>
  <c r="V63" i="2"/>
  <c r="U63" i="2"/>
  <c r="T63" i="2"/>
  <c r="T48" i="2"/>
  <c r="U48" i="2"/>
  <c r="V48" i="2"/>
  <c r="T49" i="2"/>
  <c r="U49" i="2"/>
  <c r="V49" i="2"/>
  <c r="T50" i="2"/>
  <c r="U50" i="2"/>
  <c r="V50" i="2"/>
  <c r="V47" i="2"/>
  <c r="U47" i="2"/>
  <c r="T47" i="2"/>
  <c r="T33" i="2"/>
  <c r="U33" i="2"/>
  <c r="V33" i="2"/>
  <c r="T34" i="2"/>
  <c r="U34" i="2"/>
  <c r="V34" i="2"/>
  <c r="T35" i="2"/>
  <c r="U35" i="2"/>
  <c r="V35" i="2"/>
  <c r="V32" i="2"/>
  <c r="U32" i="2"/>
  <c r="T32" i="2"/>
  <c r="T19" i="2"/>
  <c r="U19" i="2"/>
  <c r="V19" i="2"/>
  <c r="T20" i="2"/>
  <c r="U20" i="2"/>
  <c r="V20" i="2"/>
  <c r="T21" i="2"/>
  <c r="U21" i="2"/>
  <c r="V21" i="2"/>
  <c r="V18" i="2"/>
  <c r="U18" i="2"/>
  <c r="T18" i="2"/>
  <c r="C34" i="2" l="1"/>
  <c r="B34" i="2"/>
  <c r="B35" i="2"/>
  <c r="D34" i="2"/>
  <c r="B37" i="2" l="1"/>
  <c r="B36" i="2"/>
  <c r="D125" i="2" l="1"/>
  <c r="C125" i="2" l="1"/>
  <c r="B125" i="2"/>
  <c r="D124" i="2"/>
  <c r="C124" i="2"/>
  <c r="B124" i="2"/>
  <c r="B111" i="2"/>
  <c r="C111" i="2"/>
  <c r="D111" i="2"/>
  <c r="D110" i="2"/>
  <c r="C110" i="2"/>
  <c r="B110" i="2"/>
  <c r="D97" i="2"/>
  <c r="C97" i="2"/>
  <c r="B97" i="2"/>
  <c r="D96" i="2"/>
  <c r="C96" i="2"/>
  <c r="B96" i="2"/>
  <c r="D83" i="2"/>
  <c r="C83" i="2"/>
  <c r="B83" i="2"/>
  <c r="D82" i="2"/>
  <c r="C82" i="2"/>
  <c r="B82" i="2"/>
  <c r="D66" i="2"/>
  <c r="C66" i="2"/>
  <c r="B66" i="2"/>
  <c r="D65" i="2"/>
  <c r="C65" i="2"/>
  <c r="B65" i="2"/>
  <c r="D50" i="2"/>
  <c r="C50" i="2"/>
  <c r="B50" i="2"/>
  <c r="D49" i="2"/>
  <c r="C49" i="2"/>
  <c r="B49" i="2"/>
  <c r="D35" i="2"/>
  <c r="C35" i="2"/>
  <c r="D20" i="2"/>
  <c r="C20" i="2"/>
  <c r="B20" i="2"/>
  <c r="D19" i="2"/>
  <c r="C19" i="2"/>
  <c r="B98" i="2" l="1"/>
  <c r="B99" i="2"/>
  <c r="B85" i="2"/>
  <c r="B84" i="2"/>
  <c r="B67" i="2"/>
  <c r="B68" i="2"/>
  <c r="B126" i="2"/>
  <c r="B127" i="2"/>
  <c r="B21" i="2"/>
  <c r="B22" i="2"/>
  <c r="B52" i="2"/>
  <c r="B51" i="2"/>
  <c r="B113" i="2"/>
  <c r="B112" i="2"/>
</calcChain>
</file>

<file path=xl/sharedStrings.xml><?xml version="1.0" encoding="utf-8"?>
<sst xmlns="http://schemas.openxmlformats.org/spreadsheetml/2006/main" count="4306" uniqueCount="110">
  <si>
    <t>MelKO_Light</t>
  </si>
  <si>
    <t>MelKO_Dark</t>
  </si>
  <si>
    <t>SEM</t>
  </si>
  <si>
    <t>Retina</t>
  </si>
  <si>
    <t>Avg</t>
  </si>
  <si>
    <t>Background Firing Rate</t>
  </si>
  <si>
    <t>% change</t>
  </si>
  <si>
    <t>fold change</t>
  </si>
  <si>
    <t>BackgroundISI</t>
  </si>
  <si>
    <t>Background Interspike Interval</t>
  </si>
  <si>
    <t>Percent of Spikes Occurring in Bursts</t>
  </si>
  <si>
    <t>Dark</t>
  </si>
  <si>
    <t>Light</t>
  </si>
  <si>
    <t>Recovery</t>
  </si>
  <si>
    <t>Burst Frequency</t>
  </si>
  <si>
    <t>Interburst Interval</t>
  </si>
  <si>
    <t>Burst Duration</t>
  </si>
  <si>
    <t>In-Burst Firing Rate</t>
  </si>
  <si>
    <t>Peak In-Burst Firing Rate</t>
  </si>
  <si>
    <t>In-Burst Interspike Interval</t>
  </si>
  <si>
    <t>Spikes Per Burst</t>
  </si>
  <si>
    <t>BackgroundFiringRate</t>
  </si>
  <si>
    <t>STTC</t>
  </si>
  <si>
    <t>Inter-Electrode Distance</t>
  </si>
  <si>
    <t>Electrode_2</t>
  </si>
  <si>
    <t>Electrode_1</t>
  </si>
  <si>
    <t>adch_11</t>
  </si>
  <si>
    <t>adch_12</t>
  </si>
  <si>
    <t>adch_13</t>
  </si>
  <si>
    <t>adch_14</t>
  </si>
  <si>
    <t>adch_15</t>
  </si>
  <si>
    <t>adch_16</t>
  </si>
  <si>
    <t>adch_17</t>
  </si>
  <si>
    <t>adch_18</t>
  </si>
  <si>
    <t>adch_21</t>
  </si>
  <si>
    <t>adch_22</t>
  </si>
  <si>
    <t>adch_23</t>
  </si>
  <si>
    <t>adch_24</t>
  </si>
  <si>
    <t>adch_25</t>
  </si>
  <si>
    <t>adch_26</t>
  </si>
  <si>
    <t>adch_27</t>
  </si>
  <si>
    <t>adch_28</t>
  </si>
  <si>
    <t>adch_31</t>
  </si>
  <si>
    <t>adch_32</t>
  </si>
  <si>
    <t>adch_33</t>
  </si>
  <si>
    <t>adch_34</t>
  </si>
  <si>
    <t>adch_35</t>
  </si>
  <si>
    <t>adch_36</t>
  </si>
  <si>
    <t>adch_37</t>
  </si>
  <si>
    <t>adch_38</t>
  </si>
  <si>
    <t>adch_41</t>
  </si>
  <si>
    <t>adch_42</t>
  </si>
  <si>
    <t>adch_43</t>
  </si>
  <si>
    <t>adch_44</t>
  </si>
  <si>
    <t>adch_45</t>
  </si>
  <si>
    <t>adch_46</t>
  </si>
  <si>
    <t>adch_47</t>
  </si>
  <si>
    <t>adch_48</t>
  </si>
  <si>
    <t>adch_51</t>
  </si>
  <si>
    <t>adch_52</t>
  </si>
  <si>
    <t>adch_53</t>
  </si>
  <si>
    <t>adch_54</t>
  </si>
  <si>
    <t>adch_55</t>
  </si>
  <si>
    <t>adch_56</t>
  </si>
  <si>
    <t>adch_57</t>
  </si>
  <si>
    <t>adch_58</t>
  </si>
  <si>
    <t>adch_61</t>
  </si>
  <si>
    <t>adch_62</t>
  </si>
  <si>
    <t>adch_63</t>
  </si>
  <si>
    <t>adch_64</t>
  </si>
  <si>
    <t>adch_65</t>
  </si>
  <si>
    <t>adch_66</t>
  </si>
  <si>
    <t>adch_67</t>
  </si>
  <si>
    <t>adch_68</t>
  </si>
  <si>
    <t>adch_71</t>
  </si>
  <si>
    <t>adch_72</t>
  </si>
  <si>
    <t>adch_73</t>
  </si>
  <si>
    <t>adch_74</t>
  </si>
  <si>
    <t>adch_75</t>
  </si>
  <si>
    <t>adch_76</t>
  </si>
  <si>
    <t>adch_77</t>
  </si>
  <si>
    <t>adch_78</t>
  </si>
  <si>
    <t>adch_81</t>
  </si>
  <si>
    <t>adch_82</t>
  </si>
  <si>
    <t>adch_83</t>
  </si>
  <si>
    <t>adch_84</t>
  </si>
  <si>
    <t>adch_85</t>
  </si>
  <si>
    <t>adch_86</t>
  </si>
  <si>
    <t>adch_87</t>
  </si>
  <si>
    <t>adch_88</t>
  </si>
  <si>
    <t/>
  </si>
  <si>
    <t>Paste STTC-values for each electrode-pair below</t>
  </si>
  <si>
    <t>Distance</t>
  </si>
  <si>
    <t>Mean STTC</t>
  </si>
  <si>
    <t>Cell</t>
  </si>
  <si>
    <t>WabFrequency</t>
  </si>
  <si>
    <t>InterWabInterval</t>
  </si>
  <si>
    <t>WabDuration</t>
  </si>
  <si>
    <t>PercentSpikesInWabs</t>
  </si>
  <si>
    <t>InWabFiringRate</t>
  </si>
  <si>
    <t>PeakInWabFiringRate</t>
  </si>
  <si>
    <t>InWabISI</t>
  </si>
  <si>
    <t>SpikesPerWab</t>
  </si>
  <si>
    <t>These cells will then get marked on each experimental population.</t>
  </si>
  <si>
    <t>Marking will make it easier to exclude invalid cells from further analysis (by deleting or filtering them out).</t>
  </si>
  <si>
    <r>
      <t xml:space="preserve">Provide the ids of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cells (e.g., Retina 1, Cell 23).  These can be found in the Cell_Units workbooks.</t>
    </r>
  </si>
  <si>
    <t>WT_Dark</t>
  </si>
  <si>
    <t>WT_Light</t>
  </si>
  <si>
    <t>WT_DarkRecovery</t>
  </si>
  <si>
    <t>MelKO_DarkRecovery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</si>
</sst>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</fills>
  <borders count="1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3" borderId="0" applyNumberFormat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0" xfId="1" applyFont="1" applyFill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0" applyBorder="1"/>
    <xf numFmtId="0" fontId="7" fillId="0" borderId="0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1" fillId="2" borderId="2" xfId="0" applyFont="1" applyFill="1" applyBorder="1" applyAlignment="1">
      <alignment horizontal="center" vertical="center"/>
    </xf>
  </cellXfs>
  <cellStyles count="2">
    <cellStyle name="Bad" xfId="1" builtinId="27"/>
    <cellStyle name="Normal" xfId="0" builtinId="0"/>
  </cellStyles>
  <dxfs count="8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6600"/>
      <color rgb="FFCCFF99"/>
      <color rgb="FF99FF66"/>
      <color rgb="FF008000"/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Values'!$A$1:$D$1</c:f>
          <c:strCache>
            <c:ptCount val="4"/>
            <c:pt idx="0">
              <c:v>Background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Values'!$B$4:$D$4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Values'!$B$4:$D$4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Values'!$B$2:$D$2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'Property Values'!$B$3:$D$3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89448464"/>
        <c:axId val="-98944574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Values'!$T$2:$V$2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Values'!$T$3:$V$3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Values'!$T$4:$V$4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Values'!$T$5:$V$5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Values'!$T$6:$V$6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val>
            <c:numRef>
              <c:f>'Property Values'!$T$7:$V$7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89448464"/>
        <c:axId val="-989445744"/>
      </c:lineChart>
      <c:catAx>
        <c:axId val="-98944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89445744"/>
        <c:crosses val="autoZero"/>
        <c:auto val="1"/>
        <c:lblAlgn val="ctr"/>
        <c:lblOffset val="100"/>
        <c:noMultiLvlLbl val="0"/>
      </c:catAx>
      <c:valAx>
        <c:axId val="-9894457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minute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8944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Values'!$A$17:$D$17</c:f>
          <c:strCache>
            <c:ptCount val="4"/>
            <c:pt idx="0">
              <c:v>Background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Values'!$B$20:$D$20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Values'!$B$20:$D$20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Values'!$B$18:$D$18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'Property Values'!$B$19:$D$19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89443568"/>
        <c:axId val="-98944248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Values'!$T$18:$V$18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Values'!$T$19:$V$19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Values'!$T$20:$V$20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Values'!$T$21:$V$21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Values'!$T$22:$V$22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Values'!$T$23:$V$23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89443568"/>
        <c:axId val="-989442480"/>
      </c:lineChart>
      <c:catAx>
        <c:axId val="-98944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89442480"/>
        <c:crosses val="autoZero"/>
        <c:auto val="1"/>
        <c:lblAlgn val="ctr"/>
        <c:lblOffset val="100"/>
        <c:noMultiLvlLbl val="0"/>
      </c:catAx>
      <c:valAx>
        <c:axId val="-9894424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8944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Values'!$A$32:$D$32</c:f>
          <c:strCache>
            <c:ptCount val="4"/>
            <c:pt idx="0">
              <c:v>Burst Frequency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Values'!$B$35:$D$35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Values'!$B$35:$D$35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Values'!$B$33:$D$33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'Property Values'!$B$34:$D$34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89449008"/>
        <c:axId val="-98944030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Values'!$T$32:$V$32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Values'!$T$33:$V$33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Values'!$T$34:$V$34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Values'!$T$35:$V$35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Values'!$T$36:$V$36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Values'!$T$37:$V$37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89449008"/>
        <c:axId val="-989440304"/>
      </c:lineChart>
      <c:catAx>
        <c:axId val="-98944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89440304"/>
        <c:crosses val="autoZero"/>
        <c:auto val="1"/>
        <c:lblAlgn val="ctr"/>
        <c:lblOffset val="100"/>
        <c:noMultiLvlLbl val="0"/>
      </c:catAx>
      <c:valAx>
        <c:axId val="-9894403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Bursts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/ minute</a:t>
                </a:r>
                <a:endParaRPr lang="en-US" sz="1200" b="1">
                  <a:solidFill>
                    <a:schemeClr val="tx1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8944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Values'!$A$47:$D$47</c:f>
          <c:strCache>
            <c:ptCount val="4"/>
            <c:pt idx="0">
              <c:v>Interburst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Values'!$B$50:$D$50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Values'!$B$50:$D$50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Values'!$B$48:$D$48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'Property Values'!$B$49:$D$49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89440848"/>
        <c:axId val="-98945444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Values'!$T$47:$V$47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Values'!$T$48:$V$48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Values'!$T$49:$V$49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Values'!$T$50:$V$50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Values'!$T$51:$V$51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Values'!$T$52:$V$52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89440848"/>
        <c:axId val="-989454448"/>
      </c:lineChart>
      <c:catAx>
        <c:axId val="-989440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89454448"/>
        <c:crosses val="autoZero"/>
        <c:auto val="1"/>
        <c:lblAlgn val="ctr"/>
        <c:lblOffset val="100"/>
        <c:noMultiLvlLbl val="0"/>
      </c:catAx>
      <c:valAx>
        <c:axId val="-989454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8944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Values'!$A$63:$D$63</c:f>
          <c:strCache>
            <c:ptCount val="4"/>
            <c:pt idx="0">
              <c:v>Burst Duration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Values'!$B$66:$D$66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Values'!$B$66:$D$66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Values'!$B$64:$D$64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'Property Values'!$B$65:$D$65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08995488"/>
        <c:axId val="-90899440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Values'!$T$63:$V$63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Values'!$T$64:$V$64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Values'!$T$65:$V$65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Values'!$T$66:$V$66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Values'!$T$67:$V$67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Values'!$T$68:$V$68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8995488"/>
        <c:axId val="-908994400"/>
      </c:lineChart>
      <c:catAx>
        <c:axId val="-90899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8994400"/>
        <c:crosses val="autoZero"/>
        <c:auto val="1"/>
        <c:lblAlgn val="ctr"/>
        <c:lblOffset val="100"/>
        <c:noMultiLvlLbl val="0"/>
      </c:catAx>
      <c:valAx>
        <c:axId val="-9089944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89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Values'!$A$80:$D$80</c:f>
          <c:strCache>
            <c:ptCount val="4"/>
            <c:pt idx="0">
              <c:v>Percent of Spikes Occurring in Bursts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Values'!$B$83:$D$83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Values'!$B$83:$D$83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Values'!$B$81:$D$81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'Property Values'!$B$82:$D$82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08992224"/>
        <c:axId val="-90898732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Values'!$T$80:$V$80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Values'!$T$81:$V$81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Values'!$T$82:$V$82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Values'!$T$83:$V$83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Values'!$T$84:$V$84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Values'!$T$100:$V$100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8992224"/>
        <c:axId val="-908987328"/>
      </c:lineChart>
      <c:catAx>
        <c:axId val="-90899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8987328"/>
        <c:crosses val="autoZero"/>
        <c:auto val="1"/>
        <c:lblAlgn val="ctr"/>
        <c:lblOffset val="100"/>
        <c:noMultiLvlLbl val="0"/>
      </c:catAx>
      <c:valAx>
        <c:axId val="-9089873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899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Values'!$A$94:$D$94</c:f>
          <c:strCache>
            <c:ptCount val="4"/>
            <c:pt idx="0">
              <c:v>In-Burst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Values'!$B$97:$D$97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Values'!$B$97:$D$97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Values'!$B$95:$D$95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'Property Values'!$B$96:$D$96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08997120"/>
        <c:axId val="-90899168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Values'!$T$95:$V$95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Values'!$T$96:$V$96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Values'!$T$97:$V$97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Values'!$T$98:$V$98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Values'!$T$99:$V$99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Values'!$T$100:$V$100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8997120"/>
        <c:axId val="-908991680"/>
      </c:lineChart>
      <c:catAx>
        <c:axId val="-90899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8991680"/>
        <c:crosses val="autoZero"/>
        <c:auto val="1"/>
        <c:lblAlgn val="ctr"/>
        <c:lblOffset val="100"/>
        <c:noMultiLvlLbl val="0"/>
      </c:catAx>
      <c:valAx>
        <c:axId val="-9089916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899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Values'!$A$108:$D$108</c:f>
          <c:strCache>
            <c:ptCount val="4"/>
            <c:pt idx="0">
              <c:v>Peak In-Burst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Values'!$B$111:$D$111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Values'!$B$111:$D$111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Values'!$B$109:$D$109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'Property Values'!$B$110:$D$110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08996032"/>
        <c:axId val="-90898841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Values'!$T$110:$V$110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Values'!$T$111:$V$111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Values'!$T$112:$V$112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Values'!$T$113:$V$113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Values'!$T$114:$V$114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Values'!$T$115:$V$115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8996032"/>
        <c:axId val="-908988416"/>
      </c:lineChart>
      <c:catAx>
        <c:axId val="-90899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8988416"/>
        <c:crosses val="autoZero"/>
        <c:auto val="1"/>
        <c:lblAlgn val="ctr"/>
        <c:lblOffset val="100"/>
        <c:noMultiLvlLbl val="0"/>
      </c:catAx>
      <c:valAx>
        <c:axId val="-9089884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899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Values'!$A$122:$D$122</c:f>
          <c:strCache>
            <c:ptCount val="4"/>
            <c:pt idx="0">
              <c:v>In-Burst Interspike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Values'!$B$125:$D$125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Values'!$B$125:$D$125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Values'!$B$123:$D$123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'Property Values'!$B$124:$D$124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08990048"/>
        <c:axId val="-90899113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Values'!$T$123:$V$123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Values'!$T$124:$V$124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Values'!$T$125:$V$125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Values'!$T$126:$V$126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Values'!$T$127:$V$127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Values'!$T$128:$V$128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8990048"/>
        <c:axId val="-908991136"/>
      </c:lineChart>
      <c:catAx>
        <c:axId val="-90899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8991136"/>
        <c:crosses val="autoZero"/>
        <c:auto val="1"/>
        <c:lblAlgn val="ctr"/>
        <c:lblOffset val="100"/>
        <c:noMultiLvlLbl val="0"/>
      </c:catAx>
      <c:valAx>
        <c:axId val="-9089911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899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Values'!$A$139:$D$139</c:f>
          <c:strCache>
            <c:ptCount val="4"/>
            <c:pt idx="0">
              <c:v>Spikes Per Burst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Values'!$B$142:$D$142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'Property Values'!$B$142:$D$142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1905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Values'!$B$140:$D$140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'Property Values'!$B$141:$D$141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09001472"/>
        <c:axId val="-90899276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Values'!$T$140:$V$140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Values'!$T$141:$V$141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Values'!$T$142:$V$142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Values'!$T$143:$V$143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Values'!$T$144:$V$144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Values'!$T$145:$V$145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9001472"/>
        <c:axId val="-908992768"/>
      </c:lineChart>
      <c:catAx>
        <c:axId val="-90900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8992768"/>
        <c:crosses val="autoZero"/>
        <c:auto val="1"/>
        <c:lblAlgn val="ctr"/>
        <c:lblOffset val="100"/>
        <c:noMultiLvlLbl val="0"/>
      </c:catAx>
      <c:valAx>
        <c:axId val="-9089927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900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219073</xdr:colOff>
      <xdr:row>0</xdr:row>
      <xdr:rowOff>0</xdr:rowOff>
    </xdr:from>
    <xdr:to>
      <xdr:col>14</xdr:col>
      <xdr:colOff>333374</xdr:colOff>
      <xdr:row>14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204787</xdr:colOff>
      <xdr:row>14</xdr:row>
      <xdr:rowOff>100012</xdr:rowOff>
    </xdr:from>
    <xdr:to>
      <xdr:col>14</xdr:col>
      <xdr:colOff>342900</xdr:colOff>
      <xdr:row>28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214312</xdr:colOff>
      <xdr:row>29</xdr:row>
      <xdr:rowOff>14287</xdr:rowOff>
    </xdr:from>
    <xdr:to>
      <xdr:col>14</xdr:col>
      <xdr:colOff>333375</xdr:colOff>
      <xdr:row>43</xdr:row>
      <xdr:rowOff>33337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214312</xdr:colOff>
      <xdr:row>43</xdr:row>
      <xdr:rowOff>138112</xdr:rowOff>
    </xdr:from>
    <xdr:to>
      <xdr:col>14</xdr:col>
      <xdr:colOff>306261</xdr:colOff>
      <xdr:row>58</xdr:row>
      <xdr:rowOff>4762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233361</xdr:colOff>
      <xdr:row>58</xdr:row>
      <xdr:rowOff>119062</xdr:rowOff>
    </xdr:from>
    <xdr:to>
      <xdr:col>14</xdr:col>
      <xdr:colOff>295274</xdr:colOff>
      <xdr:row>73</xdr:row>
      <xdr:rowOff>4762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228599</xdr:colOff>
      <xdr:row>74</xdr:row>
      <xdr:rowOff>185737</xdr:rowOff>
    </xdr:from>
    <xdr:to>
      <xdr:col>14</xdr:col>
      <xdr:colOff>333375</xdr:colOff>
      <xdr:row>89</xdr:row>
      <xdr:rowOff>33337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219075</xdr:colOff>
      <xdr:row>89</xdr:row>
      <xdr:rowOff>100012</xdr:rowOff>
    </xdr:from>
    <xdr:to>
      <xdr:col>14</xdr:col>
      <xdr:colOff>314325</xdr:colOff>
      <xdr:row>103</xdr:row>
      <xdr:rowOff>138112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238124</xdr:colOff>
      <xdr:row>103</xdr:row>
      <xdr:rowOff>166687</xdr:rowOff>
    </xdr:from>
    <xdr:to>
      <xdr:col>14</xdr:col>
      <xdr:colOff>361950</xdr:colOff>
      <xdr:row>118</xdr:row>
      <xdr:rowOff>14287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238124</xdr:colOff>
      <xdr:row>118</xdr:row>
      <xdr:rowOff>61912</xdr:rowOff>
    </xdr:from>
    <xdr:to>
      <xdr:col>14</xdr:col>
      <xdr:colOff>400050</xdr:colOff>
      <xdr:row>132</xdr:row>
      <xdr:rowOff>100012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142875</xdr:colOff>
      <xdr:row>135</xdr:row>
      <xdr:rowOff>166687</xdr:rowOff>
    </xdr:from>
    <xdr:to>
      <xdr:col>14</xdr:col>
      <xdr:colOff>447675</xdr:colOff>
      <xdr:row>150</xdr:row>
      <xdr:rowOff>23812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0</xdr:row>
          <xdr:rowOff>190500</xdr:rowOff>
        </xdr:from>
        <xdr:to>
          <xdr:col>6</xdr:col>
          <xdr:colOff>1828800</xdr:colOff>
          <xdr:row>2</xdr:row>
          <xdr:rowOff>238125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Electrode Names, Distances, and STTC-values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G7" totalsRowShown="0" headerRowDxfId="87" dataDxfId="86">
  <autoFilter ref="A1:G7"/>
  <tableColumns count="7">
    <tableColumn id="1" name="Retina" dataDxfId="85"/>
    <tableColumn id="2" name="MelKO_Dark" dataDxfId="84"/>
    <tableColumn id="3" name="MelKO_Light" dataDxfId="83"/>
    <tableColumn id="4" name="MelKO_DarkRecovery" dataDxfId="82"/>
    <tableColumn id="5" name="WT_Dark" dataDxfId="81"/>
    <tableColumn id="6" name="WT_Light" dataDxfId="80"/>
    <tableColumn id="7" name="WT_DarkRecovery" dataDxfId="7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SttcTable" displayName="SttcTable" ref="E5:H6" insertRow="1" totalsRowShown="0" headerRowDxfId="74" dataDxfId="73">
  <autoFilter ref="E5:H6"/>
  <tableColumns count="4">
    <tableColumn id="1" name="Electrode_1" dataDxfId="72"/>
    <tableColumn id="2" name="Electrode_2" dataDxfId="71"/>
    <tableColumn id="3" name="Inter-Electrode Distance" dataDxfId="70"/>
    <tableColumn id="4" name="STTC" dataDxfId="6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WT_Dark" displayName="WT_Dark" ref="A1:L2" insertRow="1" headerRowDxfId="68" dataDxfId="67" totalsRowDxfId="66">
  <autoFilter ref="A1:L2"/>
  <tableColumns count="12">
    <tableColumn id="11" name="Retina" totalsRowLabel="Total" dataDxfId="65" totalsRowDxfId="64"/>
    <tableColumn id="1" name="Cell" totalsRowFunction="count" dataDxfId="63"/>
    <tableColumn id="2" name="BackgroundFiringRate" totalsRowFunction="average" dataDxfId="62"/>
    <tableColumn id="3" name="BackgroundISI" totalsRowFunction="average" dataDxfId="61"/>
    <tableColumn id="4" name="WabFrequency" totalsRowFunction="average" dataDxfId="60"/>
    <tableColumn id="5" name="InterWabInterval" totalsRowFunction="average" dataDxfId="59"/>
    <tableColumn id="6" name="WabDuration" totalsRowFunction="average" dataDxfId="58"/>
    <tableColumn id="7" name="PercentSpikesInWabs" totalsRowFunction="average" dataDxfId="57"/>
    <tableColumn id="8" name="InWabFiringRate" totalsRowFunction="average" dataDxfId="56"/>
    <tableColumn id="9" name="PeakInWabFiringRate" totalsRowFunction="average" dataDxfId="55"/>
    <tableColumn id="10" name="InWabISI" totalsRowFunction="average" dataDxfId="54"/>
    <tableColumn id="12" name="SpikesPerWab" dataDxfId="53" totalsRowDxfId="5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WT_Light" displayName="WT_Light" ref="A1:L2" insertRow="1" headerRowDxfId="51" dataDxfId="50">
  <autoFilter ref="A1:L2"/>
  <tableColumns count="12">
    <tableColumn id="11" name="Retina" totalsRowLabel="Total" dataDxfId="49" totalsRowDxfId="48"/>
    <tableColumn id="1" name="Cell" dataDxfId="47" totalsRowDxfId="46"/>
    <tableColumn id="2" name="BackgroundFiringRate" totalsRowFunction="average" dataDxfId="45" totalsRowDxfId="44"/>
    <tableColumn id="3" name="BackgroundISI" totalsRowFunction="average" dataDxfId="43" totalsRowDxfId="42"/>
    <tableColumn id="4" name="WabFrequency" totalsRowFunction="average" dataDxfId="41" totalsRowDxfId="40"/>
    <tableColumn id="5" name="InterWabInterval" totalsRowFunction="average" dataDxfId="39" totalsRowDxfId="38"/>
    <tableColumn id="6" name="WabDuration" totalsRowFunction="average" dataDxfId="37" totalsRowDxfId="36"/>
    <tableColumn id="7" name="PercentSpikesInWabs" totalsRowFunction="average" dataDxfId="35" totalsRowDxfId="34"/>
    <tableColumn id="8" name="InWabFiringRate" totalsRowFunction="average" dataDxfId="33" totalsRowDxfId="32"/>
    <tableColumn id="9" name="PeakInWabFiringRate" totalsRowFunction="average" dataDxfId="31" totalsRowDxfId="30"/>
    <tableColumn id="10" name="InWabISI" totalsRowFunction="average" dataDxfId="29" totalsRowDxfId="28"/>
    <tableColumn id="12" name="SpikesPerWab" dataDxfId="27" totalsRowDxfId="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WT_DarkRecovery" displayName="WT_DarkRecovery" ref="A1:L2" insertRow="1" headerRowDxfId="25" dataDxfId="24">
  <autoFilter ref="A1:L2"/>
  <tableColumns count="12">
    <tableColumn id="11" name="Retina" totalsRowLabel="Total" dataDxfId="23" totalsRowDxfId="22"/>
    <tableColumn id="1" name="Cell" dataDxfId="21" totalsRowDxfId="20"/>
    <tableColumn id="2" name="BackgroundFiringRate" totalsRowFunction="average" dataDxfId="19" totalsRowDxfId="18"/>
    <tableColumn id="3" name="BackgroundISI" totalsRowFunction="average" dataDxfId="17" totalsRowDxfId="16"/>
    <tableColumn id="4" name="WabFrequency" totalsRowFunction="average" dataDxfId="15" totalsRowDxfId="14"/>
    <tableColumn id="5" name="InterWabInterval" totalsRowFunction="average" dataDxfId="13" totalsRowDxfId="12"/>
    <tableColumn id="6" name="WabDuration" totalsRowFunction="average" dataDxfId="11" totalsRowDxfId="10"/>
    <tableColumn id="7" name="PercentSpikesInWabs" totalsRowFunction="average" dataDxfId="9" totalsRowDxfId="8"/>
    <tableColumn id="8" name="InWabFiringRate" totalsRowFunction="average" dataDxfId="7" totalsRowDxfId="6"/>
    <tableColumn id="9" name="PeakInWabFiringRate" totalsRowFunction="average" dataDxfId="5" totalsRowDxfId="4"/>
    <tableColumn id="10" name="InWabISI" totalsRowFunction="average" dataDxfId="3" totalsRowDxfId="2"/>
    <tableColumn id="12" name="SpikesPerWab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7"/>
  <sheetViews>
    <sheetView tabSelected="1" workbookViewId="0"/>
  </sheetViews>
  <sheetFormatPr defaultRowHeight="15" x14ac:dyDescent="0.25"/>
  <cols>
    <col min="1" max="1" width="9" style="23" bestFit="1" customWidth="1"/>
    <col min="2" max="2" width="14.42578125" style="23" bestFit="1" customWidth="1"/>
    <col min="3" max="3" width="14.7109375" style="23" bestFit="1" customWidth="1"/>
    <col min="4" max="4" width="22.85546875" style="23" bestFit="1" customWidth="1"/>
    <col min="5" max="5" width="40.5703125" style="23" bestFit="1" customWidth="1"/>
    <col min="6" max="6" width="48" style="23" bestFit="1" customWidth="1"/>
    <col min="7" max="7" width="40.7109375" style="23" bestFit="1" customWidth="1"/>
    <col min="8" max="16384" width="9.140625" style="23"/>
  </cols>
  <sheetData>
    <row r="1" spans="1:7" x14ac:dyDescent="0.25">
      <c r="A1" s="23" t="s">
        <v>3</v>
      </c>
      <c r="B1" s="23" t="s">
        <v>1</v>
      </c>
      <c r="C1" s="23" t="s">
        <v>0</v>
      </c>
      <c r="D1" s="23" t="s">
        <v>109</v>
      </c>
      <c r="E1" s="23" t="s">
        <v>106</v>
      </c>
      <c r="F1" s="23" t="s">
        <v>107</v>
      </c>
      <c r="G1" s="23" t="s">
        <v>108</v>
      </c>
    </row>
    <row r="2" spans="1:7" x14ac:dyDescent="0.25">
      <c r="A2" s="1">
        <v>1</v>
      </c>
    </row>
    <row r="3" spans="1:7" x14ac:dyDescent="0.25">
      <c r="A3" s="1">
        <v>2</v>
      </c>
    </row>
    <row r="4" spans="1:7" x14ac:dyDescent="0.25">
      <c r="A4" s="1">
        <v>3</v>
      </c>
    </row>
    <row r="5" spans="1:7" x14ac:dyDescent="0.25">
      <c r="A5" s="1">
        <v>4</v>
      </c>
    </row>
    <row r="6" spans="1:7" x14ac:dyDescent="0.25">
      <c r="A6" s="1">
        <v>5</v>
      </c>
    </row>
    <row r="7" spans="1:7" x14ac:dyDescent="0.25">
      <c r="A7" s="1">
        <v>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3"/>
  <sheetViews>
    <sheetView workbookViewId="0"/>
  </sheetViews>
  <sheetFormatPr defaultRowHeight="15" x14ac:dyDescent="0.25"/>
  <cols>
    <col min="12" max="12" width="12.85546875" bestFit="1" customWidth="1"/>
  </cols>
  <sheetData>
    <row r="1" spans="1:15" x14ac:dyDescent="0.25">
      <c r="A1" s="26" t="s">
        <v>105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</row>
    <row r="2" spans="1:15" x14ac:dyDescent="0.25">
      <c r="A2" s="26" t="s">
        <v>103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 s="26" t="s">
        <v>104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25">
      <c r="A4" s="26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25">
      <c r="A5" s="19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25">
      <c r="A6" s="16" t="s">
        <v>3</v>
      </c>
      <c r="B6" s="16" t="s">
        <v>94</v>
      </c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</row>
    <row r="7" spans="1:15" x14ac:dyDescent="0.25">
      <c r="A7" s="24"/>
      <c r="B7" s="25"/>
      <c r="C7" s="24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</row>
    <row r="8" spans="1:15" x14ac:dyDescent="0.25">
      <c r="A8" s="24"/>
      <c r="B8" s="25"/>
      <c r="C8" s="24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</row>
    <row r="9" spans="1:15" x14ac:dyDescent="0.25">
      <c r="A9" s="24"/>
      <c r="B9" s="25"/>
      <c r="C9" s="18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</row>
    <row r="10" spans="1:15" x14ac:dyDescent="0.25">
      <c r="A10" s="24"/>
      <c r="B10" s="25"/>
      <c r="C10" s="24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</row>
    <row r="11" spans="1:15" x14ac:dyDescent="0.25">
      <c r="A11" s="24"/>
      <c r="B11" s="25"/>
      <c r="C11" s="24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</row>
    <row r="12" spans="1:15" x14ac:dyDescent="0.25">
      <c r="A12" s="24"/>
      <c r="B12" s="25"/>
      <c r="C12" s="24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</row>
    <row r="13" spans="1:15" x14ac:dyDescent="0.25">
      <c r="A13" s="24"/>
      <c r="B13" s="25"/>
      <c r="C13" s="18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</sheetData>
  <conditionalFormatting sqref="A13">
    <cfRule type="containsText" dxfId="78" priority="3" operator="containsText" text="dk">
      <formula>NOT(ISERROR(SEARCH("dk",A13)))</formula>
    </cfRule>
    <cfRule type="containsText" dxfId="77" priority="4" operator="containsText" text="k">
      <formula>NOT(ISERROR(SEARCH("k",A13)))</formula>
    </cfRule>
  </conditionalFormatting>
  <conditionalFormatting sqref="A7:A12">
    <cfRule type="containsText" dxfId="76" priority="1" operator="containsText" text="dk">
      <formula>NOT(ISERROR(SEARCH("dk",A7)))</formula>
    </cfRule>
    <cfRule type="containsText" dxfId="75" priority="2" operator="containsText" text="k">
      <formula>NOT(ISERROR(SEARCH("k",A7)))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rkInvalidCell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45"/>
  <sheetViews>
    <sheetView workbookViewId="0">
      <selection sqref="A1:D1"/>
    </sheetView>
  </sheetViews>
  <sheetFormatPr defaultRowHeight="15" x14ac:dyDescent="0.25"/>
  <cols>
    <col min="1" max="1" width="18.5703125" style="1" bestFit="1" customWidth="1"/>
    <col min="2" max="2" width="14.28515625" style="1" bestFit="1" customWidth="1"/>
    <col min="3" max="3" width="14.5703125" style="1" bestFit="1" customWidth="1"/>
    <col min="4" max="4" width="18.5703125" style="1" bestFit="1" customWidth="1"/>
    <col min="5" max="5" width="6" style="1" bestFit="1" customWidth="1"/>
    <col min="6" max="6" width="4.7109375" style="1" bestFit="1" customWidth="1"/>
    <col min="7" max="7" width="6" style="1" bestFit="1" customWidth="1"/>
    <col min="8" max="8" width="4.7109375" style="1" bestFit="1" customWidth="1"/>
    <col min="9" max="9" width="9.140625" style="1"/>
    <col min="19" max="19" width="9.140625" style="1"/>
    <col min="20" max="20" width="14.28515625" style="1" bestFit="1" customWidth="1"/>
    <col min="21" max="21" width="14.5703125" style="1" bestFit="1" customWidth="1"/>
    <col min="22" max="22" width="18.5703125" style="1" bestFit="1" customWidth="1"/>
  </cols>
  <sheetData>
    <row r="1" spans="1:22" ht="15.75" thickBot="1" x14ac:dyDescent="0.3">
      <c r="A1" s="28" t="s">
        <v>5</v>
      </c>
      <c r="B1" s="28"/>
      <c r="C1" s="28"/>
      <c r="D1" s="28"/>
      <c r="T1" s="1" t="s">
        <v>106</v>
      </c>
      <c r="U1" s="1" t="s">
        <v>107</v>
      </c>
      <c r="V1" s="1" t="s">
        <v>108</v>
      </c>
    </row>
    <row r="2" spans="1:22" ht="15.75" thickBot="1" x14ac:dyDescent="0.3">
      <c r="A2" s="5"/>
      <c r="B2" s="12" t="s">
        <v>11</v>
      </c>
      <c r="C2" s="12" t="s">
        <v>12</v>
      </c>
      <c r="D2" s="13" t="s">
        <v>13</v>
      </c>
      <c r="S2" s="1">
        <v>1</v>
      </c>
      <c r="T2" s="1" t="e">
        <f>AVERAGEIF(WT_Dark[Retina],'Property Values'!$S2,WT_Dark[BackgroundFiringRate])</f>
        <v>#DIV/0!</v>
      </c>
      <c r="U2" s="1" t="e">
        <f>AVERAGEIF(WT_Light[Retina],'Property Values'!$S2,WT_Light[BackgroundFiringRate])</f>
        <v>#DIV/0!</v>
      </c>
      <c r="V2" s="1" t="e">
        <f>AVERAGEIF(WT_DarkRecovery[Retina],'Property Values'!$S2,WT_DarkRecovery[BackgroundFiringRate])</f>
        <v>#DIV/0!</v>
      </c>
    </row>
    <row r="3" spans="1:22" x14ac:dyDescent="0.25">
      <c r="A3" s="14" t="s">
        <v>4</v>
      </c>
      <c r="B3" s="10" t="e">
        <f>AVERAGE(WT_Dark[BackgroundFiringRate])</f>
        <v>#DIV/0!</v>
      </c>
      <c r="C3" s="10" t="e">
        <f>AVERAGE(WT_Light[BackgroundFiringRate])</f>
        <v>#DIV/0!</v>
      </c>
      <c r="D3" s="11" t="e">
        <f>AVERAGEA(WT_DarkRecovery[BackgroundFiringRate])</f>
        <v>#DIV/0!</v>
      </c>
      <c r="S3" s="1">
        <v>2</v>
      </c>
      <c r="T3" s="1" t="e">
        <f>AVERAGEIF(WT_Dark[Retina],'Property Values'!$S3,WT_Dark[BackgroundFiringRate])</f>
        <v>#DIV/0!</v>
      </c>
      <c r="U3" s="1" t="e">
        <f>AVERAGEIF(WT_Light[Retina],'Property Values'!$S3,WT_Light[BackgroundFiringRate])</f>
        <v>#DIV/0!</v>
      </c>
      <c r="V3" s="1" t="e">
        <f>AVERAGEIF(WT_DarkRecovery[Retina],'Property Values'!$S3,WT_DarkRecovery[BackgroundFiringRate])</f>
        <v>#DIV/0!</v>
      </c>
    </row>
    <row r="4" spans="1:22" ht="15.75" thickBot="1" x14ac:dyDescent="0.3">
      <c r="A4" s="4" t="s">
        <v>2</v>
      </c>
      <c r="B4" s="3" t="e">
        <f>_xlfn.STDEV.S(WT_Dark[BackgroundFiringRate])/SQRT(COUNT(WT_Dark[BackgroundFiringRate]))</f>
        <v>#DIV/0!</v>
      </c>
      <c r="C4" s="3" t="e">
        <f>_xlfn.STDEV.S(WT_Light[BackgroundFiringRate])/SQRT(COUNT(WT_Light[BackgroundFiringRate]))</f>
        <v>#DIV/0!</v>
      </c>
      <c r="D4" s="2" t="e">
        <f>_xlfn.STDEV.S(WT_DarkRecovery[BackgroundFiringRate])/SQRT(COUNT(WT_DarkRecovery[BackgroundFiringRate]))</f>
        <v>#DIV/0!</v>
      </c>
      <c r="S4" s="1">
        <v>3</v>
      </c>
      <c r="T4" s="1" t="e">
        <f>AVERAGEIF(WT_Dark[Retina],'Property Values'!$S4,WT_Dark[BackgroundFiringRate])</f>
        <v>#DIV/0!</v>
      </c>
      <c r="U4" s="1" t="e">
        <f>AVERAGEIF(WT_Light[Retina],'Property Values'!$S4,WT_Light[BackgroundFiringRate])</f>
        <v>#DIV/0!</v>
      </c>
      <c r="V4" s="1" t="e">
        <f>AVERAGEIF(WT_DarkRecovery[Retina],'Property Values'!$S4,WT_DarkRecovery[BackgroundFiringRate])</f>
        <v>#DIV/0!</v>
      </c>
    </row>
    <row r="5" spans="1:22" x14ac:dyDescent="0.25">
      <c r="A5" s="6" t="s">
        <v>6</v>
      </c>
      <c r="B5" s="1" t="e">
        <f>($C3-$B3)/$B3*100</f>
        <v>#DIV/0!</v>
      </c>
      <c r="S5" s="1">
        <v>4</v>
      </c>
      <c r="T5" s="1" t="e">
        <f>AVERAGEIF(WT_Dark[Retina],'Property Values'!$S5,WT_Dark[BackgroundFiringRate])</f>
        <v>#DIV/0!</v>
      </c>
      <c r="U5" s="1" t="e">
        <f>AVERAGEIF(WT_Light[Retina],'Property Values'!$S5,WT_Light[BackgroundFiringRate])</f>
        <v>#DIV/0!</v>
      </c>
      <c r="V5" s="1" t="e">
        <f>AVERAGEIF(WT_DarkRecovery[Retina],'Property Values'!$S5,WT_DarkRecovery[BackgroundFiringRate])</f>
        <v>#DIV/0!</v>
      </c>
    </row>
    <row r="6" spans="1:22" x14ac:dyDescent="0.25">
      <c r="A6" s="6" t="s">
        <v>7</v>
      </c>
      <c r="B6" s="1" t="e">
        <f>$C3/$B3</f>
        <v>#DIV/0!</v>
      </c>
      <c r="S6" s="1">
        <v>5</v>
      </c>
      <c r="T6" s="1" t="e">
        <f>AVERAGEIF(WT_Dark[Retina],'Property Values'!$S6,WT_Dark[BackgroundFiringRate])</f>
        <v>#DIV/0!</v>
      </c>
      <c r="U6" s="1" t="e">
        <f>AVERAGEIF(WT_Light[Retina],'Property Values'!$S6,WT_Light[BackgroundFiringRate])</f>
        <v>#DIV/0!</v>
      </c>
      <c r="V6" s="1" t="e">
        <f>AVERAGEIF(WT_DarkRecovery[Retina],'Property Values'!$S6,WT_DarkRecovery[BackgroundFiringRate])</f>
        <v>#DIV/0!</v>
      </c>
    </row>
    <row r="7" spans="1:22" x14ac:dyDescent="0.25">
      <c r="S7" s="1">
        <v>6</v>
      </c>
      <c r="T7" s="1" t="e">
        <f>AVERAGEIF(WT_Dark[Retina],'Property Values'!$S7,WT_Dark[BackgroundFiringRate])</f>
        <v>#DIV/0!</v>
      </c>
      <c r="U7" s="1" t="e">
        <f>AVERAGEIF(WT_Light[Retina],'Property Values'!$S7,WT_Light[BackgroundFiringRate])</f>
        <v>#DIV/0!</v>
      </c>
      <c r="V7" s="1" t="e">
        <f>AVERAGEIF(WT_DarkRecovery[Retina],'Property Values'!$S7,WT_DarkRecovery[BackgroundFiringRate])</f>
        <v>#DIV/0!</v>
      </c>
    </row>
    <row r="8" spans="1:22" x14ac:dyDescent="0.25">
      <c r="S8"/>
      <c r="T8"/>
      <c r="U8"/>
      <c r="V8"/>
    </row>
    <row r="17" spans="1:22" ht="15.75" thickBot="1" x14ac:dyDescent="0.3">
      <c r="A17" s="28" t="s">
        <v>9</v>
      </c>
      <c r="B17" s="28"/>
      <c r="C17" s="28"/>
      <c r="D17" s="28"/>
      <c r="T17" s="1" t="s">
        <v>106</v>
      </c>
      <c r="U17" s="1" t="s">
        <v>107</v>
      </c>
      <c r="V17" s="1" t="s">
        <v>108</v>
      </c>
    </row>
    <row r="18" spans="1:22" ht="15.75" thickBot="1" x14ac:dyDescent="0.3">
      <c r="A18" s="5"/>
      <c r="B18" s="12" t="s">
        <v>11</v>
      </c>
      <c r="C18" s="12" t="s">
        <v>12</v>
      </c>
      <c r="D18" s="13" t="s">
        <v>13</v>
      </c>
      <c r="S18" s="1">
        <v>1</v>
      </c>
      <c r="T18" s="1" t="e">
        <f>AVERAGEIF(WT_Dark[Retina],'Property Values'!$S18,WT_Dark[BackgroundISI])</f>
        <v>#DIV/0!</v>
      </c>
      <c r="U18" s="1" t="e">
        <f>AVERAGEIF(WT_Light[Retina],'Property Values'!$S18,WT_Light[BackgroundISI])</f>
        <v>#DIV/0!</v>
      </c>
      <c r="V18" s="1" t="e">
        <f>AVERAGEIF(WT_DarkRecovery[Retina],'Property Values'!$S18,WT_DarkRecovery[BackgroundISI])</f>
        <v>#DIV/0!</v>
      </c>
    </row>
    <row r="19" spans="1:22" x14ac:dyDescent="0.25">
      <c r="A19" s="14" t="s">
        <v>4</v>
      </c>
      <c r="B19" s="10" t="e">
        <f>AVERAGE(WT_Dark[BackgroundISI])</f>
        <v>#DIV/0!</v>
      </c>
      <c r="C19" s="10" t="e">
        <f>AVERAGE(WT_Light[BackgroundISI])</f>
        <v>#DIV/0!</v>
      </c>
      <c r="D19" s="11" t="e">
        <f>AVERAGE(WT_DarkRecovery[BackgroundISI])</f>
        <v>#DIV/0!</v>
      </c>
      <c r="S19" s="1">
        <v>2</v>
      </c>
      <c r="T19" s="1" t="e">
        <f>AVERAGEIF(WT_Dark[Retina],'Property Values'!$S19,WT_Dark[BackgroundISI])</f>
        <v>#DIV/0!</v>
      </c>
      <c r="U19" s="1" t="e">
        <f>AVERAGEIF(WT_Light[Retina],'Property Values'!$S19,WT_Light[BackgroundISI])</f>
        <v>#DIV/0!</v>
      </c>
      <c r="V19" s="1" t="e">
        <f>AVERAGEIF(WT_DarkRecovery[Retina],'Property Values'!$S19,WT_DarkRecovery[BackgroundISI])</f>
        <v>#DIV/0!</v>
      </c>
    </row>
    <row r="20" spans="1:22" ht="15.75" thickBot="1" x14ac:dyDescent="0.3">
      <c r="A20" s="4" t="s">
        <v>2</v>
      </c>
      <c r="B20" s="3" t="e">
        <f>_xlfn.STDEV.S(WT_Dark[BackgroundISI])/SQRT(COUNT(WT_Dark[BackgroundISI]))</f>
        <v>#DIV/0!</v>
      </c>
      <c r="C20" s="3" t="e">
        <f>_xlfn.STDEV.S(WT_Light[BackgroundISI])/SQRT(COUNT(WT_Light[BackgroundISI]))</f>
        <v>#DIV/0!</v>
      </c>
      <c r="D20" s="2" t="e">
        <f>_xlfn.STDEV.S(WT_DarkRecovery[BackgroundISI])/SQRT(COUNT(WT_DarkRecovery[BackgroundISI]))</f>
        <v>#DIV/0!</v>
      </c>
      <c r="S20" s="1">
        <v>3</v>
      </c>
      <c r="T20" s="1" t="e">
        <f>AVERAGEIF(WT_Dark[Retina],'Property Values'!$S20,WT_Dark[BackgroundISI])</f>
        <v>#DIV/0!</v>
      </c>
      <c r="U20" s="1" t="e">
        <f>AVERAGEIF(WT_Light[Retina],'Property Values'!$S20,WT_Light[BackgroundISI])</f>
        <v>#DIV/0!</v>
      </c>
      <c r="V20" s="1" t="e">
        <f>AVERAGEIF(WT_DarkRecovery[Retina],'Property Values'!$S20,WT_DarkRecovery[BackgroundISI])</f>
        <v>#DIV/0!</v>
      </c>
    </row>
    <row r="21" spans="1:22" x14ac:dyDescent="0.25">
      <c r="A21" s="6" t="s">
        <v>6</v>
      </c>
      <c r="B21" s="1" t="e">
        <f>(C19-B19)/B19*100</f>
        <v>#DIV/0!</v>
      </c>
      <c r="S21" s="1">
        <v>4</v>
      </c>
      <c r="T21" s="1" t="e">
        <f>AVERAGEIF(WT_Dark[Retina],'Property Values'!$S21,WT_Dark[BackgroundISI])</f>
        <v>#DIV/0!</v>
      </c>
      <c r="U21" s="1" t="e">
        <f>AVERAGEIF(WT_Light[Retina],'Property Values'!$S21,WT_Light[BackgroundISI])</f>
        <v>#DIV/0!</v>
      </c>
      <c r="V21" s="1" t="e">
        <f>AVERAGEIF(WT_DarkRecovery[Retina],'Property Values'!$S21,WT_DarkRecovery[BackgroundISI])</f>
        <v>#DIV/0!</v>
      </c>
    </row>
    <row r="22" spans="1:22" x14ac:dyDescent="0.25">
      <c r="A22" s="6" t="s">
        <v>7</v>
      </c>
      <c r="B22" s="1" t="e">
        <f>C19/B19</f>
        <v>#DIV/0!</v>
      </c>
      <c r="S22" s="1">
        <v>5</v>
      </c>
      <c r="T22" s="1" t="e">
        <f>AVERAGEIF(WT_Dark[Retina],'Property Values'!$S22,WT_Dark[BackgroundISI])</f>
        <v>#DIV/0!</v>
      </c>
      <c r="U22" s="1" t="e">
        <f>AVERAGEIF(WT_Light[Retina],'Property Values'!$S22,WT_Light[BackgroundISI])</f>
        <v>#DIV/0!</v>
      </c>
      <c r="V22" s="1" t="e">
        <f>AVERAGEIF(WT_DarkRecovery[Retina],'Property Values'!$S22,WT_DarkRecovery[BackgroundISI])</f>
        <v>#DIV/0!</v>
      </c>
    </row>
    <row r="23" spans="1:22" x14ac:dyDescent="0.25">
      <c r="S23" s="1">
        <v>6</v>
      </c>
      <c r="T23" s="1" t="e">
        <f>AVERAGEIF(WT_Dark[Retina],'Property Values'!$S23,WT_Dark[BackgroundISI])</f>
        <v>#DIV/0!</v>
      </c>
      <c r="U23" s="1" t="e">
        <f>AVERAGEIF(WT_Light[Retina],'Property Values'!$S23,WT_Light[BackgroundISI])</f>
        <v>#DIV/0!</v>
      </c>
      <c r="V23" s="1" t="e">
        <f>AVERAGEIF(WT_DarkRecovery[Retina],'Property Values'!$S23,WT_DarkRecovery[BackgroundISI])</f>
        <v>#DIV/0!</v>
      </c>
    </row>
    <row r="24" spans="1:22" x14ac:dyDescent="0.25">
      <c r="S24"/>
      <c r="T24"/>
      <c r="U24"/>
      <c r="V24"/>
    </row>
    <row r="31" spans="1:22" x14ac:dyDescent="0.25">
      <c r="T31" s="1" t="s">
        <v>106</v>
      </c>
      <c r="U31" s="1" t="s">
        <v>107</v>
      </c>
      <c r="V31" s="1" t="s">
        <v>108</v>
      </c>
    </row>
    <row r="32" spans="1:22" ht="15.75" thickBot="1" x14ac:dyDescent="0.3">
      <c r="A32" s="28" t="s">
        <v>14</v>
      </c>
      <c r="B32" s="28"/>
      <c r="C32" s="28"/>
      <c r="D32" s="28"/>
      <c r="S32" s="1">
        <v>1</v>
      </c>
      <c r="T32" s="1" t="e">
        <f>AVERAGEIF(WT_Dark[Retina],'Property Values'!$S32,WT_Dark[WabFrequency])</f>
        <v>#DIV/0!</v>
      </c>
      <c r="U32" s="1" t="e">
        <f>AVERAGEIF(WT_Light[Retina],'Property Values'!$S32,WT_Light[WabFrequency])</f>
        <v>#DIV/0!</v>
      </c>
      <c r="V32" s="1" t="e">
        <f>AVERAGEIF(WT_DarkRecovery[Retina],'Property Values'!$S32,WT_DarkRecovery[WabFrequency])</f>
        <v>#DIV/0!</v>
      </c>
    </row>
    <row r="33" spans="1:22" ht="15.75" thickBot="1" x14ac:dyDescent="0.3">
      <c r="A33" s="5"/>
      <c r="B33" s="12" t="s">
        <v>11</v>
      </c>
      <c r="C33" s="12" t="s">
        <v>12</v>
      </c>
      <c r="D33" s="13" t="s">
        <v>13</v>
      </c>
      <c r="S33" s="1">
        <v>2</v>
      </c>
      <c r="T33" s="1" t="e">
        <f>AVERAGEIF(WT_Dark[Retina],'Property Values'!$S33,WT_Dark[WabFrequency])</f>
        <v>#DIV/0!</v>
      </c>
      <c r="U33" s="1" t="e">
        <f>AVERAGEIF(WT_Light[Retina],'Property Values'!$S33,WT_Light[WabFrequency])</f>
        <v>#DIV/0!</v>
      </c>
      <c r="V33" s="1" t="e">
        <f>AVERAGEIF(WT_DarkRecovery[Retina],'Property Values'!$S33,WT_DarkRecovery[WabFrequency])</f>
        <v>#DIV/0!</v>
      </c>
    </row>
    <row r="34" spans="1:22" x14ac:dyDescent="0.25">
      <c r="A34" s="14" t="s">
        <v>4</v>
      </c>
      <c r="B34" s="10" t="e">
        <f>AVERAGE(WT_Dark[WabFrequency])</f>
        <v>#DIV/0!</v>
      </c>
      <c r="C34" s="10" t="e">
        <f>AVERAGE(WT_Light[WabFrequency])</f>
        <v>#DIV/0!</v>
      </c>
      <c r="D34" s="11" t="e">
        <f>AVERAGE(WT_DarkRecovery[WabFrequency])</f>
        <v>#DIV/0!</v>
      </c>
      <c r="S34" s="1">
        <v>3</v>
      </c>
      <c r="T34" s="1" t="e">
        <f>AVERAGEIF(WT_Dark[Retina],'Property Values'!$S34,WT_Dark[WabFrequency])</f>
        <v>#DIV/0!</v>
      </c>
      <c r="U34" s="1" t="e">
        <f>AVERAGEIF(WT_Light[Retina],'Property Values'!$S34,WT_Light[WabFrequency])</f>
        <v>#DIV/0!</v>
      </c>
      <c r="V34" s="1" t="e">
        <f>AVERAGEIF(WT_DarkRecovery[Retina],'Property Values'!$S34,WT_DarkRecovery[WabFrequency])</f>
        <v>#DIV/0!</v>
      </c>
    </row>
    <row r="35" spans="1:22" ht="15.75" thickBot="1" x14ac:dyDescent="0.3">
      <c r="A35" s="4" t="s">
        <v>2</v>
      </c>
      <c r="B35" s="3" t="e">
        <f>_xlfn.STDEV.S(WT_Dark[WabFrequency])/SQRT(COUNT(WT_Dark[WabFrequency]))</f>
        <v>#DIV/0!</v>
      </c>
      <c r="C35" s="3" t="e">
        <f>_xlfn.STDEV.S(WT_Light[WabFrequency])/SQRT(COUNT(WT_Light[WabFrequency]))</f>
        <v>#DIV/0!</v>
      </c>
      <c r="D35" s="2" t="e">
        <f>_xlfn.STDEV.S(WT_DarkRecovery[WabFrequency])/SQRT(COUNT(WT_DarkRecovery[WabFrequency]))</f>
        <v>#DIV/0!</v>
      </c>
      <c r="S35" s="1">
        <v>4</v>
      </c>
      <c r="T35" s="1" t="e">
        <f>AVERAGEIF(WT_Dark[Retina],'Property Values'!$S35,WT_Dark[WabFrequency])</f>
        <v>#DIV/0!</v>
      </c>
      <c r="U35" s="1" t="e">
        <f>AVERAGEIF(WT_Light[Retina],'Property Values'!$S35,WT_Light[WabFrequency])</f>
        <v>#DIV/0!</v>
      </c>
      <c r="V35" s="1" t="e">
        <f>AVERAGEIF(WT_DarkRecovery[Retina],'Property Values'!$S35,WT_DarkRecovery[WabFrequency])</f>
        <v>#DIV/0!</v>
      </c>
    </row>
    <row r="36" spans="1:22" x14ac:dyDescent="0.25">
      <c r="A36" s="6" t="s">
        <v>6</v>
      </c>
      <c r="B36" s="1" t="e">
        <f>(C34-B34)/B34*100</f>
        <v>#DIV/0!</v>
      </c>
      <c r="S36" s="1">
        <v>5</v>
      </c>
      <c r="T36" s="1" t="e">
        <f>AVERAGEIF(WT_Dark[Retina],'Property Values'!$S36,WT_Dark[WabFrequency])</f>
        <v>#DIV/0!</v>
      </c>
      <c r="U36" s="1" t="e">
        <f>AVERAGEIF(WT_Light[Retina],'Property Values'!$S36,WT_Light[WabFrequency])</f>
        <v>#DIV/0!</v>
      </c>
      <c r="V36" s="1" t="e">
        <f>AVERAGEIF(WT_DarkRecovery[Retina],'Property Values'!$S36,WT_DarkRecovery[WabFrequency])</f>
        <v>#DIV/0!</v>
      </c>
    </row>
    <row r="37" spans="1:22" x14ac:dyDescent="0.25">
      <c r="A37" s="6" t="s">
        <v>7</v>
      </c>
      <c r="B37" s="1" t="e">
        <f>C34/B34</f>
        <v>#DIV/0!</v>
      </c>
      <c r="S37" s="1">
        <v>6</v>
      </c>
      <c r="T37" s="1" t="e">
        <f>AVERAGEIF(WT_Dark[Retina],'Property Values'!$S37,WT_Dark[WabFrequency])</f>
        <v>#DIV/0!</v>
      </c>
      <c r="U37" s="1" t="e">
        <f>AVERAGEIF(WT_Light[Retina],'Property Values'!$S37,WT_Light[WabFrequency])</f>
        <v>#DIV/0!</v>
      </c>
      <c r="V37" s="1" t="e">
        <f>AVERAGEIF(WT_DarkRecovery[Retina],'Property Values'!$S37,WT_DarkRecovery[WabFrequency])</f>
        <v>#DIV/0!</v>
      </c>
    </row>
    <row r="38" spans="1:22" x14ac:dyDescent="0.25">
      <c r="S38"/>
      <c r="T38"/>
      <c r="U38"/>
      <c r="V38"/>
    </row>
    <row r="46" spans="1:22" x14ac:dyDescent="0.25">
      <c r="T46" s="1" t="s">
        <v>106</v>
      </c>
      <c r="U46" s="1" t="s">
        <v>107</v>
      </c>
      <c r="V46" s="1" t="s">
        <v>108</v>
      </c>
    </row>
    <row r="47" spans="1:22" ht="15.75" thickBot="1" x14ac:dyDescent="0.3">
      <c r="A47" s="28" t="s">
        <v>15</v>
      </c>
      <c r="B47" s="28"/>
      <c r="C47" s="28"/>
      <c r="D47" s="28"/>
      <c r="S47" s="1">
        <v>1</v>
      </c>
      <c r="T47" s="1" t="e">
        <f>AVERAGEIF(WT_Dark[Retina],'Property Values'!$S47,WT_Dark[InterWabInterval])</f>
        <v>#DIV/0!</v>
      </c>
      <c r="U47" s="1" t="e">
        <f>AVERAGEIF(WT_Light[Retina],'Property Values'!$S47,WT_Light[InterWabInterval])</f>
        <v>#DIV/0!</v>
      </c>
      <c r="V47" s="1" t="e">
        <f>AVERAGEIF(WT_DarkRecovery[Retina],'Property Values'!$S47,WT_DarkRecovery[InterWabInterval])</f>
        <v>#DIV/0!</v>
      </c>
    </row>
    <row r="48" spans="1:22" ht="15.75" thickBot="1" x14ac:dyDescent="0.3">
      <c r="A48" s="5"/>
      <c r="B48" s="12" t="s">
        <v>11</v>
      </c>
      <c r="C48" s="12" t="s">
        <v>12</v>
      </c>
      <c r="D48" s="13" t="s">
        <v>13</v>
      </c>
      <c r="S48" s="1">
        <v>2</v>
      </c>
      <c r="T48" s="1" t="e">
        <f>AVERAGEIF(WT_Dark[Retina],'Property Values'!$S48,WT_Dark[InterWabInterval])</f>
        <v>#DIV/0!</v>
      </c>
      <c r="U48" s="1" t="e">
        <f>AVERAGEIF(WT_Light[Retina],'Property Values'!$S48,WT_Light[InterWabInterval])</f>
        <v>#DIV/0!</v>
      </c>
      <c r="V48" s="1" t="e">
        <f>AVERAGEIF(WT_DarkRecovery[Retina],'Property Values'!$S48,WT_DarkRecovery[InterWabInterval])</f>
        <v>#DIV/0!</v>
      </c>
    </row>
    <row r="49" spans="1:22" x14ac:dyDescent="0.25">
      <c r="A49" s="14" t="s">
        <v>4</v>
      </c>
      <c r="B49" s="10" t="e">
        <f>AVERAGE(WT_Dark[InterWabInterval])</f>
        <v>#DIV/0!</v>
      </c>
      <c r="C49" s="10" t="e">
        <f>AVERAGE(WT_Light[InterWabInterval])</f>
        <v>#DIV/0!</v>
      </c>
      <c r="D49" s="11" t="e">
        <f>AVERAGE(WT_DarkRecovery[InterWabInterval])</f>
        <v>#DIV/0!</v>
      </c>
      <c r="S49" s="1">
        <v>3</v>
      </c>
      <c r="T49" s="1" t="e">
        <f>AVERAGEIF(WT_Dark[Retina],'Property Values'!$S49,WT_Dark[InterWabInterval])</f>
        <v>#DIV/0!</v>
      </c>
      <c r="U49" s="1" t="e">
        <f>AVERAGEIF(WT_Light[Retina],'Property Values'!$S49,WT_Light[InterWabInterval])</f>
        <v>#DIV/0!</v>
      </c>
      <c r="V49" s="1" t="e">
        <f>AVERAGEIF(WT_DarkRecovery[Retina],'Property Values'!$S49,WT_DarkRecovery[InterWabInterval])</f>
        <v>#DIV/0!</v>
      </c>
    </row>
    <row r="50" spans="1:22" ht="15.75" thickBot="1" x14ac:dyDescent="0.3">
      <c r="A50" s="4" t="s">
        <v>2</v>
      </c>
      <c r="B50" s="3" t="e">
        <f>_xlfn.STDEV.S(WT_Dark[InterWabInterval])/SQRT(COUNT(WT_Dark[InterWabInterval]))</f>
        <v>#DIV/0!</v>
      </c>
      <c r="C50" s="3" t="e">
        <f>_xlfn.STDEV.S(WT_Light[InterWabInterval])/SQRT(COUNT(WT_Light[InterWabInterval]))</f>
        <v>#DIV/0!</v>
      </c>
      <c r="D50" s="2" t="e">
        <f>_xlfn.STDEV.S(WT_DarkRecovery[InterWabInterval])/SQRT(COUNT(WT_DarkRecovery[InterWabInterval]))</f>
        <v>#DIV/0!</v>
      </c>
      <c r="S50" s="1">
        <v>4</v>
      </c>
      <c r="T50" s="1" t="e">
        <f>AVERAGEIF(WT_Dark[Retina],'Property Values'!$S50,WT_Dark[InterWabInterval])</f>
        <v>#DIV/0!</v>
      </c>
      <c r="U50" s="1" t="e">
        <f>AVERAGEIF(WT_Light[Retina],'Property Values'!$S50,WT_Light[InterWabInterval])</f>
        <v>#DIV/0!</v>
      </c>
      <c r="V50" s="1" t="e">
        <f>AVERAGEIF(WT_DarkRecovery[Retina],'Property Values'!$S50,WT_DarkRecovery[InterWabInterval])</f>
        <v>#DIV/0!</v>
      </c>
    </row>
    <row r="51" spans="1:22" x14ac:dyDescent="0.25">
      <c r="A51" s="6" t="s">
        <v>6</v>
      </c>
      <c r="B51" s="1" t="e">
        <f>(C49-B49)/B49*100</f>
        <v>#DIV/0!</v>
      </c>
      <c r="S51" s="1">
        <v>5</v>
      </c>
      <c r="T51" s="1" t="e">
        <f>AVERAGEIF(WT_Dark[Retina],'Property Values'!$S51,WT_Dark[InterWabInterval])</f>
        <v>#DIV/0!</v>
      </c>
      <c r="U51" s="1" t="e">
        <f>AVERAGEIF(WT_Light[Retina],'Property Values'!$S51,WT_Light[InterWabInterval])</f>
        <v>#DIV/0!</v>
      </c>
      <c r="V51" s="1" t="e">
        <f>AVERAGEIF(WT_DarkRecovery[Retina],'Property Values'!$S51,WT_DarkRecovery[InterWabInterval])</f>
        <v>#DIV/0!</v>
      </c>
    </row>
    <row r="52" spans="1:22" x14ac:dyDescent="0.25">
      <c r="A52" s="6" t="s">
        <v>7</v>
      </c>
      <c r="B52" s="1" t="e">
        <f>C49/B49</f>
        <v>#DIV/0!</v>
      </c>
      <c r="S52" s="1">
        <v>6</v>
      </c>
      <c r="T52" s="1" t="e">
        <f>AVERAGEIF(WT_Dark[Retina],'Property Values'!$S52,WT_Dark[InterWabInterval])</f>
        <v>#DIV/0!</v>
      </c>
      <c r="U52" s="1" t="e">
        <f>AVERAGEIF(WT_Light[Retina],'Property Values'!$S52,WT_Light[InterWabInterval])</f>
        <v>#DIV/0!</v>
      </c>
      <c r="V52" s="1" t="e">
        <f>AVERAGEIF(WT_DarkRecovery[Retina],'Property Values'!$S52,WT_DarkRecovery[InterWabInterval])</f>
        <v>#DIV/0!</v>
      </c>
    </row>
    <row r="62" spans="1:22" x14ac:dyDescent="0.25">
      <c r="T62" s="1" t="s">
        <v>106</v>
      </c>
      <c r="U62" s="1" t="s">
        <v>107</v>
      </c>
      <c r="V62" s="1" t="s">
        <v>108</v>
      </c>
    </row>
    <row r="63" spans="1:22" ht="15.75" thickBot="1" x14ac:dyDescent="0.3">
      <c r="A63" s="28" t="s">
        <v>16</v>
      </c>
      <c r="B63" s="28"/>
      <c r="C63" s="28"/>
      <c r="D63" s="28"/>
      <c r="S63" s="1">
        <v>1</v>
      </c>
      <c r="T63" s="1" t="e">
        <f>AVERAGEIF(WT_Dark[Retina],'Property Values'!$S63,WT_Dark[WabDuration])</f>
        <v>#DIV/0!</v>
      </c>
      <c r="U63" s="1" t="e">
        <f>AVERAGEIF(WT_Light[Retina],'Property Values'!$S63,WT_Light[WabDuration])</f>
        <v>#DIV/0!</v>
      </c>
      <c r="V63" s="1" t="e">
        <f>AVERAGEIF(WT_DarkRecovery[Retina],'Property Values'!$S63,WT_DarkRecovery[WabDuration])</f>
        <v>#DIV/0!</v>
      </c>
    </row>
    <row r="64" spans="1:22" ht="15.75" thickBot="1" x14ac:dyDescent="0.3">
      <c r="A64" s="5"/>
      <c r="B64" s="12" t="s">
        <v>11</v>
      </c>
      <c r="C64" s="12" t="s">
        <v>12</v>
      </c>
      <c r="D64" s="13" t="s">
        <v>13</v>
      </c>
      <c r="S64" s="1">
        <v>2</v>
      </c>
      <c r="T64" s="1" t="e">
        <f>AVERAGEIF(WT_Dark[Retina],'Property Values'!$S64,WT_Dark[WabDuration])</f>
        <v>#DIV/0!</v>
      </c>
      <c r="U64" s="1" t="e">
        <f>AVERAGEIF(WT_Light[Retina],'Property Values'!$S64,WT_Light[WabDuration])</f>
        <v>#DIV/0!</v>
      </c>
      <c r="V64" s="1" t="e">
        <f>AVERAGEIF(WT_DarkRecovery[Retina],'Property Values'!$S64,WT_DarkRecovery[WabDuration])</f>
        <v>#DIV/0!</v>
      </c>
    </row>
    <row r="65" spans="1:22" x14ac:dyDescent="0.25">
      <c r="A65" s="14" t="s">
        <v>4</v>
      </c>
      <c r="B65" s="10" t="e">
        <f>AVERAGE(WT_Dark[WabDuration])</f>
        <v>#DIV/0!</v>
      </c>
      <c r="C65" s="10" t="e">
        <f>AVERAGE(WT_Light[WabDuration])</f>
        <v>#DIV/0!</v>
      </c>
      <c r="D65" s="11" t="e">
        <f>AVERAGE(WT_DarkRecovery[WabDuration])</f>
        <v>#DIV/0!</v>
      </c>
      <c r="S65" s="1">
        <v>3</v>
      </c>
      <c r="T65" s="1" t="e">
        <f>AVERAGEIF(WT_Dark[Retina],'Property Values'!$S65,WT_Dark[WabDuration])</f>
        <v>#DIV/0!</v>
      </c>
      <c r="U65" s="1" t="e">
        <f>AVERAGEIF(WT_Light[Retina],'Property Values'!$S65,WT_Light[WabDuration])</f>
        <v>#DIV/0!</v>
      </c>
      <c r="V65" s="1" t="e">
        <f>AVERAGEIF(WT_DarkRecovery[Retina],'Property Values'!$S65,WT_DarkRecovery[WabDuration])</f>
        <v>#DIV/0!</v>
      </c>
    </row>
    <row r="66" spans="1:22" ht="15.75" thickBot="1" x14ac:dyDescent="0.3">
      <c r="A66" s="4" t="s">
        <v>2</v>
      </c>
      <c r="B66" s="3" t="e">
        <f>_xlfn.STDEV.S(WT_Dark[WabDuration])/SQRT(COUNT(WT_Dark[WabDuration]))</f>
        <v>#DIV/0!</v>
      </c>
      <c r="C66" s="3" t="e">
        <f>_xlfn.STDEV.S(WT_Light[WabDuration])/SQRT(COUNT(WT_Light[WabDuration]))</f>
        <v>#DIV/0!</v>
      </c>
      <c r="D66" s="2" t="e">
        <f>_xlfn.STDEV.S(WT_DarkRecovery[WabDuration])/SQRT(COUNT(WT_DarkRecovery[WabDuration]))</f>
        <v>#DIV/0!</v>
      </c>
      <c r="S66" s="1">
        <v>4</v>
      </c>
      <c r="T66" s="1" t="e">
        <f>AVERAGEIF(WT_Dark[Retina],'Property Values'!$S66,WT_Dark[WabDuration])</f>
        <v>#DIV/0!</v>
      </c>
      <c r="U66" s="1" t="e">
        <f>AVERAGEIF(WT_Light[Retina],'Property Values'!$S66,WT_Light[WabDuration])</f>
        <v>#DIV/0!</v>
      </c>
      <c r="V66" s="1" t="e">
        <f>AVERAGEIF(WT_DarkRecovery[Retina],'Property Values'!$S66,WT_DarkRecovery[WabDuration])</f>
        <v>#DIV/0!</v>
      </c>
    </row>
    <row r="67" spans="1:22" x14ac:dyDescent="0.25">
      <c r="A67" s="6" t="s">
        <v>6</v>
      </c>
      <c r="B67" s="1" t="e">
        <f>(C65-B65)/B65*100</f>
        <v>#DIV/0!</v>
      </c>
      <c r="S67" s="1">
        <v>5</v>
      </c>
      <c r="T67" s="1" t="e">
        <f>AVERAGEIF(WT_Dark[Retina],'Property Values'!$S67,WT_Dark[WabDuration])</f>
        <v>#DIV/0!</v>
      </c>
      <c r="U67" s="1" t="e">
        <f>AVERAGEIF(WT_Light[Retina],'Property Values'!$S67,WT_Light[WabDuration])</f>
        <v>#DIV/0!</v>
      </c>
      <c r="V67" s="1" t="e">
        <f>AVERAGEIF(WT_DarkRecovery[Retina],'Property Values'!$S67,WT_DarkRecovery[WabDuration])</f>
        <v>#DIV/0!</v>
      </c>
    </row>
    <row r="68" spans="1:22" x14ac:dyDescent="0.25">
      <c r="A68" s="6" t="s">
        <v>7</v>
      </c>
      <c r="B68" s="1" t="e">
        <f>C65/B65</f>
        <v>#DIV/0!</v>
      </c>
      <c r="S68" s="1">
        <v>6</v>
      </c>
      <c r="T68" s="1" t="e">
        <f>AVERAGEIF(WT_Dark[Retina],'Property Values'!$S68,WT_Dark[WabDuration])</f>
        <v>#DIV/0!</v>
      </c>
      <c r="U68" s="1" t="e">
        <f>AVERAGEIF(WT_Light[Retina],'Property Values'!$S68,WT_Light[WabDuration])</f>
        <v>#DIV/0!</v>
      </c>
      <c r="V68" s="1" t="e">
        <f>AVERAGEIF(WT_DarkRecovery[Retina],'Property Values'!$S68,WT_DarkRecovery[WabDuration])</f>
        <v>#DIV/0!</v>
      </c>
    </row>
    <row r="79" spans="1:22" x14ac:dyDescent="0.25">
      <c r="T79" s="1" t="s">
        <v>106</v>
      </c>
      <c r="U79" s="1" t="s">
        <v>107</v>
      </c>
      <c r="V79" s="1" t="s">
        <v>108</v>
      </c>
    </row>
    <row r="80" spans="1:22" ht="15.75" thickBot="1" x14ac:dyDescent="0.3">
      <c r="A80" s="28" t="s">
        <v>10</v>
      </c>
      <c r="B80" s="28"/>
      <c r="C80" s="28"/>
      <c r="D80" s="28"/>
      <c r="S80" s="1">
        <v>1</v>
      </c>
      <c r="T80" s="1" t="e">
        <f>AVERAGEIF(WT_Dark[Retina],'Property Values'!$S80,WT_Dark[PercentSpikesInWabs])</f>
        <v>#DIV/0!</v>
      </c>
      <c r="U80" s="1" t="e">
        <f>AVERAGEIF(WT_Light[Retina],'Property Values'!$S80,WT_Light[PercentSpikesInWabs])</f>
        <v>#DIV/0!</v>
      </c>
      <c r="V80" s="1" t="e">
        <f>AVERAGEIF(WT_DarkRecovery[Retina],'Property Values'!$S80,WT_DarkRecovery[PercentSpikesInWabs])</f>
        <v>#DIV/0!</v>
      </c>
    </row>
    <row r="81" spans="1:22" ht="15.75" thickBot="1" x14ac:dyDescent="0.3">
      <c r="A81" s="5"/>
      <c r="B81" s="12" t="s">
        <v>11</v>
      </c>
      <c r="C81" s="12" t="s">
        <v>12</v>
      </c>
      <c r="D81" s="13" t="s">
        <v>13</v>
      </c>
      <c r="S81" s="1">
        <v>2</v>
      </c>
      <c r="T81" s="1" t="e">
        <f>AVERAGEIF(WT_Dark[Retina],'Property Values'!$S81,WT_Dark[PercentSpikesInWabs])</f>
        <v>#DIV/0!</v>
      </c>
      <c r="U81" s="1" t="e">
        <f>AVERAGEIF(WT_Light[Retina],'Property Values'!$S81,WT_Light[PercentSpikesInWabs])</f>
        <v>#DIV/0!</v>
      </c>
      <c r="V81" s="1" t="e">
        <f>AVERAGEIF(WT_DarkRecovery[Retina],'Property Values'!$S81,WT_DarkRecovery[PercentSpikesInWabs])</f>
        <v>#DIV/0!</v>
      </c>
    </row>
    <row r="82" spans="1:22" x14ac:dyDescent="0.25">
      <c r="A82" s="14" t="s">
        <v>4</v>
      </c>
      <c r="B82" s="10" t="e">
        <f>AVERAGE(WT_Dark[PercentSpikesInWabs])</f>
        <v>#DIV/0!</v>
      </c>
      <c r="C82" s="10" t="e">
        <f>AVERAGE(WT_Light[PercentSpikesInWabs])</f>
        <v>#DIV/0!</v>
      </c>
      <c r="D82" s="11" t="e">
        <f>AVERAGE(WT_DarkRecovery[PercentSpikesInWabs])</f>
        <v>#DIV/0!</v>
      </c>
      <c r="S82" s="1">
        <v>3</v>
      </c>
      <c r="T82" s="1" t="e">
        <f>AVERAGEIF(WT_Dark[Retina],'Property Values'!$S82,WT_Dark[PercentSpikesInWabs])</f>
        <v>#DIV/0!</v>
      </c>
      <c r="U82" s="1" t="e">
        <f>AVERAGEIF(WT_Light[Retina],'Property Values'!$S82,WT_Light[PercentSpikesInWabs])</f>
        <v>#DIV/0!</v>
      </c>
      <c r="V82" s="1" t="e">
        <f>AVERAGEIF(WT_DarkRecovery[Retina],'Property Values'!$S82,WT_DarkRecovery[PercentSpikesInWabs])</f>
        <v>#DIV/0!</v>
      </c>
    </row>
    <row r="83" spans="1:22" ht="15.75" thickBot="1" x14ac:dyDescent="0.3">
      <c r="A83" s="4" t="s">
        <v>2</v>
      </c>
      <c r="B83" s="3" t="e">
        <f>_xlfn.STDEV.S(WT_Dark[PercentSpikesInWabs])/SQRT(COUNT(WT_Dark[PercentSpikesInWabs]))</f>
        <v>#DIV/0!</v>
      </c>
      <c r="C83" s="3" t="e">
        <f>_xlfn.STDEV.S(WT_Light[PercentSpikesInWabs])/SQRT(COUNT(WT_Light[PercentSpikesInWabs]))</f>
        <v>#DIV/0!</v>
      </c>
      <c r="D83" s="2" t="e">
        <f>_xlfn.STDEV.S(WT_DarkRecovery[PercentSpikesInWabs])/SQRT(COUNT(WT_DarkRecovery[PercentSpikesInWabs]))</f>
        <v>#DIV/0!</v>
      </c>
      <c r="S83" s="1">
        <v>4</v>
      </c>
      <c r="T83" s="1" t="e">
        <f>AVERAGEIF(WT_Dark[Retina],'Property Values'!$S83,WT_Dark[PercentSpikesInWabs])</f>
        <v>#DIV/0!</v>
      </c>
      <c r="U83" s="1" t="e">
        <f>AVERAGEIF(WT_Light[Retina],'Property Values'!$S83,WT_Light[PercentSpikesInWabs])</f>
        <v>#DIV/0!</v>
      </c>
      <c r="V83" s="1" t="e">
        <f>AVERAGEIF(WT_DarkRecovery[Retina],'Property Values'!$S83,WT_DarkRecovery[PercentSpikesInWabs])</f>
        <v>#DIV/0!</v>
      </c>
    </row>
    <row r="84" spans="1:22" x14ac:dyDescent="0.25">
      <c r="A84" s="6" t="s">
        <v>6</v>
      </c>
      <c r="B84" s="1" t="e">
        <f>(C82-B82)/B82*100</f>
        <v>#DIV/0!</v>
      </c>
      <c r="S84" s="1">
        <v>5</v>
      </c>
      <c r="T84" s="1" t="e">
        <f>AVERAGEIF(WT_Dark[Retina],'Property Values'!$S84,WT_Dark[PercentSpikesInWabs])</f>
        <v>#DIV/0!</v>
      </c>
      <c r="U84" s="1" t="e">
        <f>AVERAGEIF(WT_Light[Retina],'Property Values'!$S84,WT_Light[PercentSpikesInWabs])</f>
        <v>#DIV/0!</v>
      </c>
      <c r="V84" s="1" t="e">
        <f>AVERAGEIF(WT_DarkRecovery[Retina],'Property Values'!$S84,WT_DarkRecovery[PercentSpikesInWabs])</f>
        <v>#DIV/0!</v>
      </c>
    </row>
    <row r="85" spans="1:22" x14ac:dyDescent="0.25">
      <c r="A85" s="6" t="s">
        <v>7</v>
      </c>
      <c r="B85" s="1" t="e">
        <f>C82/B82</f>
        <v>#DIV/0!</v>
      </c>
      <c r="S85" s="1">
        <v>6</v>
      </c>
      <c r="T85" s="1" t="e">
        <f>AVERAGEIF(WT_Dark[Retina],'Property Values'!$S85,WT_Dark[PercentSpikesInWabs])</f>
        <v>#DIV/0!</v>
      </c>
      <c r="U85" s="1" t="e">
        <f>AVERAGEIF(WT_Light[Retina],'Property Values'!$S85,WT_Light[PercentSpikesInWabs])</f>
        <v>#DIV/0!</v>
      </c>
      <c r="V85" s="1" t="e">
        <f>AVERAGEIF(WT_DarkRecovery[Retina],'Property Values'!$S85,WT_DarkRecovery[PercentSpikesInWabs])</f>
        <v>#DIV/0!</v>
      </c>
    </row>
    <row r="94" spans="1:22" ht="15.75" thickBot="1" x14ac:dyDescent="0.3">
      <c r="A94" s="28" t="s">
        <v>17</v>
      </c>
      <c r="B94" s="28"/>
      <c r="C94" s="28"/>
      <c r="D94" s="28"/>
      <c r="T94" s="1" t="s">
        <v>106</v>
      </c>
      <c r="U94" s="1" t="s">
        <v>107</v>
      </c>
      <c r="V94" s="1" t="s">
        <v>108</v>
      </c>
    </row>
    <row r="95" spans="1:22" ht="15.75" thickBot="1" x14ac:dyDescent="0.3">
      <c r="A95" s="5"/>
      <c r="B95" s="12" t="s">
        <v>11</v>
      </c>
      <c r="C95" s="12" t="s">
        <v>12</v>
      </c>
      <c r="D95" s="13" t="s">
        <v>13</v>
      </c>
      <c r="S95" s="1">
        <v>1</v>
      </c>
      <c r="T95" s="1" t="e">
        <f>AVERAGEIF(WT_Dark[Retina],'Property Values'!$S95,WT_Dark[InWabFiringRate])</f>
        <v>#DIV/0!</v>
      </c>
      <c r="U95" s="1" t="e">
        <f>AVERAGEIF(WT_Light[Retina],'Property Values'!$S95,WT_Light[InWabFiringRate])</f>
        <v>#DIV/0!</v>
      </c>
      <c r="V95" s="1" t="e">
        <f>AVERAGEIF(WT_DarkRecovery[Retina],'Property Values'!$S95,WT_DarkRecovery[InWabFiringRate])</f>
        <v>#DIV/0!</v>
      </c>
    </row>
    <row r="96" spans="1:22" x14ac:dyDescent="0.25">
      <c r="A96" s="14" t="s">
        <v>4</v>
      </c>
      <c r="B96" s="10" t="e">
        <f>AVERAGE(WT_Dark[InWabFiringRate])</f>
        <v>#DIV/0!</v>
      </c>
      <c r="C96" s="10" t="e">
        <f>AVERAGE(WT_Light[InWabFiringRate])</f>
        <v>#DIV/0!</v>
      </c>
      <c r="D96" s="11" t="e">
        <f>AVERAGE(WT_DarkRecovery[InWabFiringRate])</f>
        <v>#DIV/0!</v>
      </c>
      <c r="S96" s="1">
        <v>2</v>
      </c>
      <c r="T96" s="1" t="e">
        <f>AVERAGEIF(WT_Dark[Retina],'Property Values'!$S96,WT_Dark[InWabFiringRate])</f>
        <v>#DIV/0!</v>
      </c>
      <c r="U96" s="1" t="e">
        <f>AVERAGEIF(WT_Light[Retina],'Property Values'!$S96,WT_Light[InWabFiringRate])</f>
        <v>#DIV/0!</v>
      </c>
      <c r="V96" s="1" t="e">
        <f>AVERAGEIF(WT_DarkRecovery[Retina],'Property Values'!$S96,WT_DarkRecovery[InWabFiringRate])</f>
        <v>#DIV/0!</v>
      </c>
    </row>
    <row r="97" spans="1:22" ht="15.75" thickBot="1" x14ac:dyDescent="0.3">
      <c r="A97" s="4" t="s">
        <v>2</v>
      </c>
      <c r="B97" s="3" t="e">
        <f>_xlfn.STDEV.S(WT_Dark[InWabFiringRate])/SQRT(COUNT(WT_Dark[InWabFiringRate]))</f>
        <v>#DIV/0!</v>
      </c>
      <c r="C97" s="3" t="e">
        <f>_xlfn.STDEV.S(WT_Light[InWabFiringRate])/SQRT(COUNT(WT_Light[InWabFiringRate]))</f>
        <v>#DIV/0!</v>
      </c>
      <c r="D97" s="2" t="e">
        <f>_xlfn.STDEV.S(WT_DarkRecovery[InWabFiringRate])/SQRT(COUNT(WT_DarkRecovery[InWabFiringRate]))</f>
        <v>#DIV/0!</v>
      </c>
      <c r="S97" s="1">
        <v>3</v>
      </c>
      <c r="T97" s="1" t="e">
        <f>AVERAGEIF(WT_Dark[Retina],'Property Values'!$S97,WT_Dark[InWabFiringRate])</f>
        <v>#DIV/0!</v>
      </c>
      <c r="U97" s="1" t="e">
        <f>AVERAGEIF(WT_Light[Retina],'Property Values'!$S97,WT_Light[InWabFiringRate])</f>
        <v>#DIV/0!</v>
      </c>
      <c r="V97" s="1" t="e">
        <f>AVERAGEIF(WT_DarkRecovery[Retina],'Property Values'!$S97,WT_DarkRecovery[InWabFiringRate])</f>
        <v>#DIV/0!</v>
      </c>
    </row>
    <row r="98" spans="1:22" x14ac:dyDescent="0.25">
      <c r="A98" s="6" t="s">
        <v>6</v>
      </c>
      <c r="B98" s="1" t="e">
        <f>(C96-B96)/B96*100</f>
        <v>#DIV/0!</v>
      </c>
      <c r="S98" s="1">
        <v>4</v>
      </c>
      <c r="T98" s="1" t="e">
        <f>AVERAGEIF(WT_Dark[Retina],'Property Values'!$S98,WT_Dark[InWabFiringRate])</f>
        <v>#DIV/0!</v>
      </c>
      <c r="U98" s="1" t="e">
        <f>AVERAGEIF(WT_Light[Retina],'Property Values'!$S98,WT_Light[InWabFiringRate])</f>
        <v>#DIV/0!</v>
      </c>
      <c r="V98" s="1" t="e">
        <f>AVERAGEIF(WT_DarkRecovery[Retina],'Property Values'!$S98,WT_DarkRecovery[InWabFiringRate])</f>
        <v>#DIV/0!</v>
      </c>
    </row>
    <row r="99" spans="1:22" x14ac:dyDescent="0.25">
      <c r="A99" s="6" t="s">
        <v>7</v>
      </c>
      <c r="B99" s="1" t="e">
        <f>C96/B96</f>
        <v>#DIV/0!</v>
      </c>
      <c r="S99" s="1">
        <v>5</v>
      </c>
      <c r="T99" s="1" t="e">
        <f>AVERAGEIF(WT_Dark[Retina],'Property Values'!$S99,WT_Dark[InWabFiringRate])</f>
        <v>#DIV/0!</v>
      </c>
      <c r="U99" s="1" t="e">
        <f>AVERAGEIF(WT_Light[Retina],'Property Values'!$S99,WT_Light[InWabFiringRate])</f>
        <v>#DIV/0!</v>
      </c>
      <c r="V99" s="1" t="e">
        <f>AVERAGEIF(WT_DarkRecovery[Retina],'Property Values'!$S99,WT_DarkRecovery[InWabFiringRate])</f>
        <v>#DIV/0!</v>
      </c>
    </row>
    <row r="100" spans="1:22" x14ac:dyDescent="0.25">
      <c r="S100" s="1">
        <v>6</v>
      </c>
      <c r="T100" s="1" t="e">
        <f>AVERAGEIF(WT_Dark[Retina],'Property Values'!$S100,WT_Dark[InWabFiringRate])</f>
        <v>#DIV/0!</v>
      </c>
      <c r="U100" s="1" t="e">
        <f>AVERAGEIF(WT_Light[Retina],'Property Values'!$S100,WT_Light[InWabFiringRate])</f>
        <v>#DIV/0!</v>
      </c>
      <c r="V100" s="1" t="e">
        <f>AVERAGEIF(WT_DarkRecovery[Retina],'Property Values'!$S100,WT_DarkRecovery[InWabFiringRate])</f>
        <v>#DIV/0!</v>
      </c>
    </row>
    <row r="108" spans="1:22" ht="15.75" thickBot="1" x14ac:dyDescent="0.3">
      <c r="A108" s="28" t="s">
        <v>18</v>
      </c>
      <c r="B108" s="28"/>
      <c r="C108" s="28"/>
      <c r="D108" s="28"/>
    </row>
    <row r="109" spans="1:22" ht="15.75" thickBot="1" x14ac:dyDescent="0.3">
      <c r="A109" s="5"/>
      <c r="B109" s="12" t="s">
        <v>11</v>
      </c>
      <c r="C109" s="12" t="s">
        <v>12</v>
      </c>
      <c r="D109" s="13" t="s">
        <v>13</v>
      </c>
      <c r="T109" s="1" t="s">
        <v>106</v>
      </c>
      <c r="U109" s="1" t="s">
        <v>107</v>
      </c>
      <c r="V109" s="1" t="s">
        <v>108</v>
      </c>
    </row>
    <row r="110" spans="1:22" x14ac:dyDescent="0.25">
      <c r="A110" s="14" t="s">
        <v>4</v>
      </c>
      <c r="B110" s="10" t="e">
        <f>AVERAGE(WT_Dark[PeakInWabFiringRate])</f>
        <v>#DIV/0!</v>
      </c>
      <c r="C110" s="10" t="e">
        <f>AVERAGE(WT_Light[PeakInWabFiringRate])</f>
        <v>#DIV/0!</v>
      </c>
      <c r="D110" s="11" t="e">
        <f>AVERAGE(WT_DarkRecovery[PeakInWabFiringRate])</f>
        <v>#DIV/0!</v>
      </c>
      <c r="S110" s="1">
        <v>1</v>
      </c>
      <c r="T110" s="1" t="e">
        <f>AVERAGEIF(WT_Dark[Retina],'Property Values'!$S110,WT_Dark[PeakInWabFiringRate])</f>
        <v>#DIV/0!</v>
      </c>
      <c r="U110" s="1" t="e">
        <f>AVERAGEIF(WT_Light[Retina],'Property Values'!$S110,WT_Light[PeakInWabFiringRate])</f>
        <v>#DIV/0!</v>
      </c>
      <c r="V110" s="1" t="e">
        <f>AVERAGEIF(WT_DarkRecovery[Retina],'Property Values'!$S110,WT_DarkRecovery[PeakInWabFiringRate])</f>
        <v>#DIV/0!</v>
      </c>
    </row>
    <row r="111" spans="1:22" ht="15.75" thickBot="1" x14ac:dyDescent="0.3">
      <c r="A111" s="4" t="s">
        <v>2</v>
      </c>
      <c r="B111" s="3" t="e">
        <f>_xlfn.STDEV.S(WT_Dark[PeakInWabFiringRate])/SQRT(COUNT(WT_Dark[PeakInWabFiringRate]))</f>
        <v>#DIV/0!</v>
      </c>
      <c r="C111" s="3" t="e">
        <f>_xlfn.STDEV.S(WT_Light[PeakInWabFiringRate])/SQRT(COUNT(WT_Light[PeakInWabFiringRate]))</f>
        <v>#DIV/0!</v>
      </c>
      <c r="D111" s="2" t="e">
        <f>_xlfn.STDEV.S(WT_DarkRecovery[PeakInWabFiringRate])/SQRT(COUNT(WT_DarkRecovery[PeakInWabFiringRate]))</f>
        <v>#DIV/0!</v>
      </c>
      <c r="S111" s="1">
        <v>2</v>
      </c>
      <c r="T111" s="1" t="e">
        <f>AVERAGEIF(WT_Dark[Retina],'Property Values'!$S111,WT_Dark[PeakInWabFiringRate])</f>
        <v>#DIV/0!</v>
      </c>
      <c r="U111" s="1" t="e">
        <f>AVERAGEIF(WT_Light[Retina],'Property Values'!$S111,WT_Light[PeakInWabFiringRate])</f>
        <v>#DIV/0!</v>
      </c>
      <c r="V111" s="1" t="e">
        <f>AVERAGEIF(WT_DarkRecovery[Retina],'Property Values'!$S111,WT_DarkRecovery[PeakInWabFiringRate])</f>
        <v>#DIV/0!</v>
      </c>
    </row>
    <row r="112" spans="1:22" x14ac:dyDescent="0.25">
      <c r="A112" s="6" t="s">
        <v>6</v>
      </c>
      <c r="B112" s="1" t="e">
        <f>(C110-B110)/B110*100</f>
        <v>#DIV/0!</v>
      </c>
      <c r="S112" s="1">
        <v>3</v>
      </c>
      <c r="T112" s="1" t="e">
        <f>AVERAGEIF(WT_Dark[Retina],'Property Values'!$S112,WT_Dark[PeakInWabFiringRate])</f>
        <v>#DIV/0!</v>
      </c>
      <c r="U112" s="1" t="e">
        <f>AVERAGEIF(WT_Light[Retina],'Property Values'!$S112,WT_Light[PeakInWabFiringRate])</f>
        <v>#DIV/0!</v>
      </c>
      <c r="V112" s="1" t="e">
        <f>AVERAGEIF(WT_DarkRecovery[Retina],'Property Values'!$S112,WT_DarkRecovery[PeakInWabFiringRate])</f>
        <v>#DIV/0!</v>
      </c>
    </row>
    <row r="113" spans="1:22" x14ac:dyDescent="0.25">
      <c r="A113" s="6" t="s">
        <v>7</v>
      </c>
      <c r="B113" s="1" t="e">
        <f>C110/B110</f>
        <v>#DIV/0!</v>
      </c>
      <c r="S113" s="1">
        <v>4</v>
      </c>
      <c r="T113" s="1" t="e">
        <f>AVERAGEIF(WT_Dark[Retina],'Property Values'!$S113,WT_Dark[PeakInWabFiringRate])</f>
        <v>#DIV/0!</v>
      </c>
      <c r="U113" s="1" t="e">
        <f>AVERAGEIF(WT_Light[Retina],'Property Values'!$S113,WT_Light[PeakInWabFiringRate])</f>
        <v>#DIV/0!</v>
      </c>
      <c r="V113" s="1" t="e">
        <f>AVERAGEIF(WT_DarkRecovery[Retina],'Property Values'!$S113,WT_DarkRecovery[PeakInWabFiringRate])</f>
        <v>#DIV/0!</v>
      </c>
    </row>
    <row r="114" spans="1:22" x14ac:dyDescent="0.25">
      <c r="S114" s="1">
        <v>5</v>
      </c>
      <c r="T114" s="1" t="e">
        <f>AVERAGEIF(WT_Dark[Retina],'Property Values'!$S114,WT_Dark[PeakInWabFiringRate])</f>
        <v>#DIV/0!</v>
      </c>
      <c r="U114" s="1" t="e">
        <f>AVERAGEIF(WT_Light[Retina],'Property Values'!$S114,WT_Light[PeakInWabFiringRate])</f>
        <v>#DIV/0!</v>
      </c>
      <c r="V114" s="1" t="e">
        <f>AVERAGEIF(WT_DarkRecovery[Retina],'Property Values'!$S114,WT_DarkRecovery[PeakInWabFiringRate])</f>
        <v>#DIV/0!</v>
      </c>
    </row>
    <row r="115" spans="1:22" x14ac:dyDescent="0.25">
      <c r="S115" s="1">
        <v>6</v>
      </c>
      <c r="T115" s="1" t="e">
        <f>AVERAGEIF(WT_Dark[Retina],'Property Values'!$S115,WT_Dark[PeakInWabFiringRate])</f>
        <v>#DIV/0!</v>
      </c>
      <c r="U115" s="1" t="e">
        <f>AVERAGEIF(WT_Light[Retina],'Property Values'!$S115,WT_Light[PeakInWabFiringRate])</f>
        <v>#DIV/0!</v>
      </c>
      <c r="V115" s="1" t="e">
        <f>AVERAGEIF(WT_DarkRecovery[Retina],'Property Values'!$S115,WT_DarkRecovery[PeakInWabFiringRate])</f>
        <v>#DIV/0!</v>
      </c>
    </row>
    <row r="122" spans="1:22" ht="15.75" thickBot="1" x14ac:dyDescent="0.3">
      <c r="A122" s="28" t="s">
        <v>19</v>
      </c>
      <c r="B122" s="28"/>
      <c r="C122" s="28"/>
      <c r="D122" s="28"/>
      <c r="T122" s="1" t="s">
        <v>106</v>
      </c>
      <c r="U122" s="1" t="s">
        <v>107</v>
      </c>
      <c r="V122" s="1" t="s">
        <v>108</v>
      </c>
    </row>
    <row r="123" spans="1:22" ht="15.75" thickBot="1" x14ac:dyDescent="0.3">
      <c r="A123" s="5"/>
      <c r="B123" s="12" t="s">
        <v>11</v>
      </c>
      <c r="C123" s="12" t="s">
        <v>12</v>
      </c>
      <c r="D123" s="13" t="s">
        <v>13</v>
      </c>
      <c r="S123" s="1">
        <v>1</v>
      </c>
      <c r="T123" s="1" t="e">
        <f>AVERAGEIF(WT_Dark[Retina],'Property Values'!$S123,WT_Dark[InWabISI])</f>
        <v>#DIV/0!</v>
      </c>
      <c r="U123" s="1" t="e">
        <f>AVERAGEIF(WT_Light[Retina],'Property Values'!$S123,WT_Light[InWabISI])</f>
        <v>#DIV/0!</v>
      </c>
      <c r="V123" s="1" t="e">
        <f>AVERAGEIF(WT_DarkRecovery[Retina],'Property Values'!$S123,WT_DarkRecovery[InWabISI])</f>
        <v>#DIV/0!</v>
      </c>
    </row>
    <row r="124" spans="1:22" x14ac:dyDescent="0.25">
      <c r="A124" s="14" t="s">
        <v>4</v>
      </c>
      <c r="B124" s="10" t="e">
        <f>AVERAGE(WT_Dark[InWabISI])</f>
        <v>#DIV/0!</v>
      </c>
      <c r="C124" s="10" t="e">
        <f>AVERAGE(WT_Light[InWabISI])</f>
        <v>#DIV/0!</v>
      </c>
      <c r="D124" s="11" t="e">
        <f>AVERAGE(WT_DarkRecovery[InWabISI])</f>
        <v>#DIV/0!</v>
      </c>
      <c r="S124" s="1">
        <v>2</v>
      </c>
      <c r="T124" s="1" t="e">
        <f>AVERAGEIF(WT_Dark[Retina],'Property Values'!$S124,WT_Dark[InWabISI])</f>
        <v>#DIV/0!</v>
      </c>
      <c r="U124" s="1" t="e">
        <f>AVERAGEIF(WT_Light[Retina],'Property Values'!$S124,WT_Light[InWabISI])</f>
        <v>#DIV/0!</v>
      </c>
      <c r="V124" s="1" t="e">
        <f>AVERAGEIF(WT_DarkRecovery[Retina],'Property Values'!$S124,WT_DarkRecovery[InWabISI])</f>
        <v>#DIV/0!</v>
      </c>
    </row>
    <row r="125" spans="1:22" ht="15.75" thickBot="1" x14ac:dyDescent="0.3">
      <c r="A125" s="4" t="s">
        <v>2</v>
      </c>
      <c r="B125" s="3" t="e">
        <f>_xlfn.STDEV.S(WT_Dark[InWabISI])/SQRT(COUNT(WT_Dark[InWabISI]))</f>
        <v>#DIV/0!</v>
      </c>
      <c r="C125" s="3" t="e">
        <f>_xlfn.STDEV.S(WT_Light[InWabISI])/SQRT(COUNT(WT_Light[InWabISI]))</f>
        <v>#DIV/0!</v>
      </c>
      <c r="D125" s="2" t="e">
        <f>_xlfn.STDEV.S(WT_DarkRecovery[InWabISI])/SQRT(COUNT(WT_DarkRecovery[InWabISI]))</f>
        <v>#DIV/0!</v>
      </c>
      <c r="S125" s="1">
        <v>3</v>
      </c>
      <c r="T125" s="1" t="e">
        <f>AVERAGEIF(WT_Dark[Retina],'Property Values'!$S125,WT_Dark[InWabISI])</f>
        <v>#DIV/0!</v>
      </c>
      <c r="U125" s="1" t="e">
        <f>AVERAGEIF(WT_Light[Retina],'Property Values'!$S125,WT_Light[InWabISI])</f>
        <v>#DIV/0!</v>
      </c>
      <c r="V125" s="1" t="e">
        <f>AVERAGEIF(WT_DarkRecovery[Retina],'Property Values'!$S125,WT_DarkRecovery[InWabISI])</f>
        <v>#DIV/0!</v>
      </c>
    </row>
    <row r="126" spans="1:22" x14ac:dyDescent="0.25">
      <c r="A126" s="6" t="s">
        <v>6</v>
      </c>
      <c r="B126" s="1" t="e">
        <f>(C124-B124)/B124*100</f>
        <v>#DIV/0!</v>
      </c>
      <c r="S126" s="1">
        <v>4</v>
      </c>
      <c r="T126" s="1" t="e">
        <f>AVERAGEIF(WT_Dark[Retina],'Property Values'!$S126,WT_Dark[InWabISI])</f>
        <v>#DIV/0!</v>
      </c>
      <c r="U126" s="1" t="e">
        <f>AVERAGEIF(WT_Light[Retina],'Property Values'!$S126,WT_Light[InWabISI])</f>
        <v>#DIV/0!</v>
      </c>
      <c r="V126" s="1" t="e">
        <f>AVERAGEIF(WT_DarkRecovery[Retina],'Property Values'!$S126,WT_DarkRecovery[InWabISI])</f>
        <v>#DIV/0!</v>
      </c>
    </row>
    <row r="127" spans="1:22" x14ac:dyDescent="0.25">
      <c r="A127" s="6" t="s">
        <v>7</v>
      </c>
      <c r="B127" s="1" t="e">
        <f>C124/B124</f>
        <v>#DIV/0!</v>
      </c>
      <c r="S127" s="1">
        <v>5</v>
      </c>
      <c r="T127" s="1" t="e">
        <f>AVERAGEIF(WT_Dark[Retina],'Property Values'!$S127,WT_Dark[InWabISI])</f>
        <v>#DIV/0!</v>
      </c>
      <c r="U127" s="1" t="e">
        <f>AVERAGEIF(WT_Light[Retina],'Property Values'!$S127,WT_Light[InWabISI])</f>
        <v>#DIV/0!</v>
      </c>
      <c r="V127" s="1" t="e">
        <f>AVERAGEIF(WT_DarkRecovery[Retina],'Property Values'!$S127,WT_DarkRecovery[InWabISI])</f>
        <v>#DIV/0!</v>
      </c>
    </row>
    <row r="128" spans="1:22" x14ac:dyDescent="0.25">
      <c r="S128" s="1">
        <v>6</v>
      </c>
      <c r="T128" s="1" t="e">
        <f>AVERAGEIF(WT_Dark[Retina],'Property Values'!$S128,WT_Dark[InWabISI])</f>
        <v>#DIV/0!</v>
      </c>
      <c r="U128" s="1" t="e">
        <f>AVERAGEIF(WT_Light[Retina],'Property Values'!$S128,WT_Light[InWabISI])</f>
        <v>#DIV/0!</v>
      </c>
      <c r="V128" s="1" t="e">
        <f>AVERAGEIF(WT_DarkRecovery[Retina],'Property Values'!$S128,WT_DarkRecovery[InWabISI])</f>
        <v>#DIV/0!</v>
      </c>
    </row>
    <row r="139" spans="1:22" ht="15.75" thickBot="1" x14ac:dyDescent="0.3">
      <c r="A139" s="28" t="s">
        <v>20</v>
      </c>
      <c r="B139" s="28"/>
      <c r="C139" s="28"/>
      <c r="D139" s="28"/>
      <c r="T139" s="1" t="s">
        <v>106</v>
      </c>
      <c r="U139" s="1" t="s">
        <v>107</v>
      </c>
      <c r="V139" s="1" t="s">
        <v>108</v>
      </c>
    </row>
    <row r="140" spans="1:22" ht="15.75" thickBot="1" x14ac:dyDescent="0.3">
      <c r="A140" s="5"/>
      <c r="B140" s="12" t="s">
        <v>11</v>
      </c>
      <c r="C140" s="12" t="s">
        <v>12</v>
      </c>
      <c r="D140" s="13" t="s">
        <v>13</v>
      </c>
      <c r="S140" s="1">
        <v>1</v>
      </c>
      <c r="T140" s="1" t="e">
        <f>AVERAGEIF(WT_Dark[Retina],'Property Values'!$S140,WT_Dark[SpikesPerWab])</f>
        <v>#DIV/0!</v>
      </c>
      <c r="U140" s="1" t="e">
        <f>AVERAGEIF(WT_Light[Retina],'Property Values'!$S140,WT_Light[SpikesPerWab])</f>
        <v>#DIV/0!</v>
      </c>
      <c r="V140" s="1" t="e">
        <f>AVERAGEIF(WT_DarkRecovery[Retina],'Property Values'!$S140,WT_DarkRecovery[SpikesPerWab])</f>
        <v>#DIV/0!</v>
      </c>
    </row>
    <row r="141" spans="1:22" x14ac:dyDescent="0.25">
      <c r="A141" s="14" t="s">
        <v>4</v>
      </c>
      <c r="B141" s="10" t="e">
        <f>AVERAGE(WT_Dark[SpikesPerWab])</f>
        <v>#DIV/0!</v>
      </c>
      <c r="C141" s="10" t="e">
        <f>AVERAGE(WT_Light[SpikesPerWab])</f>
        <v>#DIV/0!</v>
      </c>
      <c r="D141" s="11" t="e">
        <f>AVERAGE(WT_DarkRecovery[SpikesPerWab])</f>
        <v>#DIV/0!</v>
      </c>
      <c r="S141" s="1">
        <v>2</v>
      </c>
      <c r="T141" s="1" t="e">
        <f>AVERAGEIF(WT_Dark[Retina],'Property Values'!$S141,WT_Dark[SpikesPerWab])</f>
        <v>#DIV/0!</v>
      </c>
      <c r="U141" s="1" t="e">
        <f>AVERAGEIF(WT_Light[Retina],'Property Values'!$S141,WT_Light[SpikesPerWab])</f>
        <v>#DIV/0!</v>
      </c>
      <c r="V141" s="1" t="e">
        <f>AVERAGEIF(WT_DarkRecovery[Retina],'Property Values'!$S141,WT_DarkRecovery[SpikesPerWab])</f>
        <v>#DIV/0!</v>
      </c>
    </row>
    <row r="142" spans="1:22" ht="15.75" thickBot="1" x14ac:dyDescent="0.3">
      <c r="A142" s="4" t="s">
        <v>2</v>
      </c>
      <c r="B142" s="3" t="e">
        <f>_xlfn.STDEV.S(WT_Dark[SpikesPerWab])/SQRT(COUNT(WT_Dark[SpikesPerWab]))</f>
        <v>#DIV/0!</v>
      </c>
      <c r="C142" s="3" t="e">
        <f>_xlfn.STDEV.S(WT_Light[SpikesPerWab])/SQRT(COUNT(WT_Light[SpikesPerWab]))</f>
        <v>#DIV/0!</v>
      </c>
      <c r="D142" s="2" t="e">
        <f>_xlfn.STDEV.S(WT_DarkRecovery[SpikesPerWab])/SQRT(COUNT(WT_DarkRecovery[SpikesPerWab]))</f>
        <v>#DIV/0!</v>
      </c>
      <c r="S142" s="1">
        <v>3</v>
      </c>
      <c r="T142" s="1" t="e">
        <f>AVERAGEIF(WT_Dark[Retina],'Property Values'!$S142,WT_Dark[SpikesPerWab])</f>
        <v>#DIV/0!</v>
      </c>
      <c r="U142" s="1" t="e">
        <f>AVERAGEIF(WT_Light[Retina],'Property Values'!$S142,WT_Light[SpikesPerWab])</f>
        <v>#DIV/0!</v>
      </c>
      <c r="V142" s="1" t="e">
        <f>AVERAGEIF(WT_DarkRecovery[Retina],'Property Values'!$S142,WT_DarkRecovery[SpikesPerWab])</f>
        <v>#DIV/0!</v>
      </c>
    </row>
    <row r="143" spans="1:22" x14ac:dyDescent="0.25">
      <c r="A143" s="6" t="s">
        <v>6</v>
      </c>
      <c r="B143" s="1" t="e">
        <f>(C141-B141)/B141*100</f>
        <v>#DIV/0!</v>
      </c>
      <c r="S143" s="1">
        <v>4</v>
      </c>
      <c r="T143" s="1" t="e">
        <f>AVERAGEIF(WT_Dark[Retina],'Property Values'!$S143,WT_Dark[SpikesPerWab])</f>
        <v>#DIV/0!</v>
      </c>
      <c r="U143" s="1" t="e">
        <f>AVERAGEIF(WT_Light[Retina],'Property Values'!$S143,WT_Light[SpikesPerWab])</f>
        <v>#DIV/0!</v>
      </c>
      <c r="V143" s="1" t="e">
        <f>AVERAGEIF(WT_DarkRecovery[Retina],'Property Values'!$S143,WT_DarkRecovery[SpikesPerWab])</f>
        <v>#DIV/0!</v>
      </c>
    </row>
    <row r="144" spans="1:22" x14ac:dyDescent="0.25">
      <c r="A144" s="6" t="s">
        <v>7</v>
      </c>
      <c r="B144" s="1" t="e">
        <f>C141/B141</f>
        <v>#DIV/0!</v>
      </c>
      <c r="S144" s="1">
        <v>5</v>
      </c>
      <c r="T144" s="1" t="e">
        <f>AVERAGEIF(WT_Dark[Retina],'Property Values'!$S144,WT_Dark[SpikesPerWab])</f>
        <v>#DIV/0!</v>
      </c>
      <c r="U144" s="1" t="e">
        <f>AVERAGEIF(WT_Light[Retina],'Property Values'!$S144,WT_Light[SpikesPerWab])</f>
        <v>#DIV/0!</v>
      </c>
      <c r="V144" s="1" t="e">
        <f>AVERAGEIF(WT_DarkRecovery[Retina],'Property Values'!$S144,WT_DarkRecovery[SpikesPerWab])</f>
        <v>#DIV/0!</v>
      </c>
    </row>
    <row r="145" spans="19:22" x14ac:dyDescent="0.25">
      <c r="S145" s="1">
        <v>6</v>
      </c>
      <c r="T145" s="1" t="e">
        <f>AVERAGEIF(WT_Dark[Retina],'Property Values'!$S145,WT_Dark[SpikesPerWab])</f>
        <v>#DIV/0!</v>
      </c>
      <c r="U145" s="1" t="e">
        <f>AVERAGEIF(WT_Light[Retina],'Property Values'!$S145,WT_Light[SpikesPerWab])</f>
        <v>#DIV/0!</v>
      </c>
      <c r="V145" s="1" t="e">
        <f>AVERAGEIF(WT_DarkRecovery[Retina],'Property Values'!$S145,WT_DarkRecovery[SpikesPerWab])</f>
        <v>#DIV/0!</v>
      </c>
    </row>
  </sheetData>
  <mergeCells count="10">
    <mergeCell ref="A139:D139"/>
    <mergeCell ref="A1:D1"/>
    <mergeCell ref="A80:D80"/>
    <mergeCell ref="A94:D94"/>
    <mergeCell ref="A108:D108"/>
    <mergeCell ref="A122:D122"/>
    <mergeCell ref="A63:D63"/>
    <mergeCell ref="A47:D47"/>
    <mergeCell ref="A32:D32"/>
    <mergeCell ref="A17:D17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3:BV2021"/>
  <sheetViews>
    <sheetView workbookViewId="0"/>
  </sheetViews>
  <sheetFormatPr defaultRowHeight="15" x14ac:dyDescent="0.25"/>
  <cols>
    <col min="1" max="1" width="9.140625" style="1"/>
    <col min="2" max="2" width="10.5703125" style="1" bestFit="1" customWidth="1"/>
    <col min="3" max="4" width="9.140625" style="1"/>
    <col min="5" max="6" width="16" style="1" bestFit="1" customWidth="1"/>
    <col min="7" max="7" width="27.42578125" style="1" bestFit="1" customWidth="1"/>
    <col min="8" max="8" width="9.7109375" style="1" bestFit="1" customWidth="1"/>
    <col min="9" max="16384" width="9.140625" style="1"/>
  </cols>
  <sheetData>
    <row r="3" spans="1:74" ht="18.75" x14ac:dyDescent="0.25">
      <c r="K3" s="21" t="s">
        <v>91</v>
      </c>
    </row>
    <row r="5" spans="1:74" x14ac:dyDescent="0.25">
      <c r="A5" s="6" t="s">
        <v>92</v>
      </c>
      <c r="B5" s="6" t="s">
        <v>93</v>
      </c>
      <c r="E5" s="6" t="s">
        <v>25</v>
      </c>
      <c r="F5" s="6" t="s">
        <v>24</v>
      </c>
      <c r="G5" s="1" t="s">
        <v>23</v>
      </c>
      <c r="H5" s="1" t="s">
        <v>22</v>
      </c>
      <c r="K5" s="6" t="s">
        <v>26</v>
      </c>
      <c r="L5" s="6" t="s">
        <v>27</v>
      </c>
      <c r="M5" s="6" t="s">
        <v>28</v>
      </c>
      <c r="N5" s="6" t="s">
        <v>29</v>
      </c>
      <c r="O5" s="6" t="s">
        <v>30</v>
      </c>
      <c r="P5" s="6" t="s">
        <v>31</v>
      </c>
      <c r="Q5" s="6" t="s">
        <v>32</v>
      </c>
      <c r="R5" s="6" t="s">
        <v>33</v>
      </c>
      <c r="S5" s="6" t="s">
        <v>34</v>
      </c>
      <c r="T5" s="6" t="s">
        <v>35</v>
      </c>
      <c r="U5" s="6" t="s">
        <v>36</v>
      </c>
      <c r="V5" s="6" t="s">
        <v>37</v>
      </c>
      <c r="W5" s="6" t="s">
        <v>38</v>
      </c>
      <c r="X5" s="6" t="s">
        <v>39</v>
      </c>
      <c r="Y5" s="6" t="s">
        <v>40</v>
      </c>
      <c r="Z5" s="6" t="s">
        <v>41</v>
      </c>
      <c r="AA5" s="6" t="s">
        <v>42</v>
      </c>
      <c r="AB5" s="6" t="s">
        <v>43</v>
      </c>
      <c r="AC5" s="6" t="s">
        <v>44</v>
      </c>
      <c r="AD5" s="6" t="s">
        <v>45</v>
      </c>
      <c r="AE5" s="6" t="s">
        <v>46</v>
      </c>
      <c r="AF5" s="6" t="s">
        <v>47</v>
      </c>
      <c r="AG5" s="6" t="s">
        <v>48</v>
      </c>
      <c r="AH5" s="6" t="s">
        <v>49</v>
      </c>
      <c r="AI5" s="6" t="s">
        <v>50</v>
      </c>
      <c r="AJ5" s="6" t="s">
        <v>51</v>
      </c>
      <c r="AK5" s="6" t="s">
        <v>52</v>
      </c>
      <c r="AL5" s="6" t="s">
        <v>53</v>
      </c>
      <c r="AM5" s="6" t="s">
        <v>54</v>
      </c>
      <c r="AN5" s="6" t="s">
        <v>55</v>
      </c>
      <c r="AO5" s="6" t="s">
        <v>56</v>
      </c>
      <c r="AP5" s="6" t="s">
        <v>57</v>
      </c>
      <c r="AQ5" s="6" t="s">
        <v>58</v>
      </c>
      <c r="AR5" s="6" t="s">
        <v>59</v>
      </c>
      <c r="AS5" s="6" t="s">
        <v>60</v>
      </c>
      <c r="AT5" s="6" t="s">
        <v>61</v>
      </c>
      <c r="AU5" s="6" t="s">
        <v>62</v>
      </c>
      <c r="AV5" s="6" t="s">
        <v>63</v>
      </c>
      <c r="AW5" s="6" t="s">
        <v>64</v>
      </c>
      <c r="AX5" s="6" t="s">
        <v>65</v>
      </c>
      <c r="AY5" s="6" t="s">
        <v>66</v>
      </c>
      <c r="AZ5" s="6" t="s">
        <v>67</v>
      </c>
      <c r="BA5" s="6" t="s">
        <v>68</v>
      </c>
      <c r="BB5" s="6" t="s">
        <v>69</v>
      </c>
      <c r="BC5" s="6" t="s">
        <v>70</v>
      </c>
      <c r="BD5" s="6" t="s">
        <v>71</v>
      </c>
      <c r="BE5" s="6" t="s">
        <v>72</v>
      </c>
      <c r="BF5" s="6" t="s">
        <v>73</v>
      </c>
      <c r="BG5" s="6" t="s">
        <v>74</v>
      </c>
      <c r="BH5" s="6" t="s">
        <v>75</v>
      </c>
      <c r="BI5" s="6" t="s">
        <v>76</v>
      </c>
      <c r="BJ5" s="6" t="s">
        <v>77</v>
      </c>
      <c r="BK5" s="6" t="s">
        <v>78</v>
      </c>
      <c r="BL5" s="6" t="s">
        <v>79</v>
      </c>
      <c r="BM5" s="6" t="s">
        <v>80</v>
      </c>
      <c r="BN5" s="6" t="s">
        <v>81</v>
      </c>
      <c r="BO5" s="6" t="s">
        <v>82</v>
      </c>
      <c r="BP5" s="6" t="s">
        <v>83</v>
      </c>
      <c r="BQ5" s="6" t="s">
        <v>84</v>
      </c>
      <c r="BR5" s="6" t="s">
        <v>85</v>
      </c>
      <c r="BS5" s="6" t="s">
        <v>86</v>
      </c>
      <c r="BT5" s="6" t="s">
        <v>87</v>
      </c>
      <c r="BU5" s="6" t="s">
        <v>88</v>
      </c>
      <c r="BV5" s="6" t="s">
        <v>89</v>
      </c>
    </row>
    <row r="6" spans="1:74" x14ac:dyDescent="0.25">
      <c r="A6" s="1">
        <v>200</v>
      </c>
      <c r="B6" s="1" t="e">
        <f>AVERAGEIF(SttcTable[Inter-Electrode Distance],$A6,SttcTable[STTC])</f>
        <v>#DIV/0!</v>
      </c>
      <c r="E6" s="9"/>
      <c r="F6" s="9"/>
      <c r="G6" s="20"/>
      <c r="H6" s="20"/>
      <c r="J6" s="6" t="s">
        <v>26</v>
      </c>
      <c r="K6" s="1">
        <v>1</v>
      </c>
      <c r="L6" s="1" t="s">
        <v>90</v>
      </c>
      <c r="M6" s="1" t="s">
        <v>90</v>
      </c>
      <c r="O6" s="1" t="s">
        <v>90</v>
      </c>
      <c r="P6" s="1" t="s">
        <v>90</v>
      </c>
      <c r="Q6" s="1" t="s">
        <v>90</v>
      </c>
      <c r="T6" s="1" t="s">
        <v>90</v>
      </c>
      <c r="U6" s="1" t="s">
        <v>90</v>
      </c>
      <c r="V6" s="1" t="s">
        <v>90</v>
      </c>
      <c r="W6" s="1" t="s">
        <v>90</v>
      </c>
      <c r="X6" s="1" t="s">
        <v>90</v>
      </c>
      <c r="Y6" s="1" t="s">
        <v>90</v>
      </c>
      <c r="Z6" s="1" t="s">
        <v>90</v>
      </c>
      <c r="AA6" s="1" t="s">
        <v>90</v>
      </c>
      <c r="AB6" s="1" t="s">
        <v>90</v>
      </c>
      <c r="AC6" s="1" t="s">
        <v>90</v>
      </c>
      <c r="AD6" s="1" t="s">
        <v>90</v>
      </c>
      <c r="AE6" s="1" t="s">
        <v>90</v>
      </c>
      <c r="AF6" s="1" t="s">
        <v>90</v>
      </c>
      <c r="AG6" s="1" t="s">
        <v>90</v>
      </c>
      <c r="AH6" s="1" t="s">
        <v>90</v>
      </c>
      <c r="AI6" s="1" t="s">
        <v>90</v>
      </c>
      <c r="AJ6" s="1" t="s">
        <v>90</v>
      </c>
      <c r="AK6" s="1" t="s">
        <v>90</v>
      </c>
      <c r="AL6" s="1" t="s">
        <v>90</v>
      </c>
      <c r="AM6" s="1" t="s">
        <v>90</v>
      </c>
      <c r="AN6" s="1" t="s">
        <v>90</v>
      </c>
      <c r="AO6" s="1" t="s">
        <v>90</v>
      </c>
      <c r="AP6" s="1" t="s">
        <v>90</v>
      </c>
      <c r="AQ6" s="1" t="s">
        <v>90</v>
      </c>
      <c r="AR6" s="1" t="s">
        <v>90</v>
      </c>
      <c r="AS6" s="1" t="s">
        <v>90</v>
      </c>
      <c r="AT6" s="1" t="s">
        <v>90</v>
      </c>
      <c r="AU6" s="1" t="s">
        <v>90</v>
      </c>
      <c r="AV6" s="1" t="s">
        <v>90</v>
      </c>
      <c r="AW6" s="1" t="s">
        <v>90</v>
      </c>
      <c r="AX6" s="1" t="s">
        <v>90</v>
      </c>
      <c r="AY6" s="1" t="s">
        <v>90</v>
      </c>
      <c r="AZ6" s="1" t="s">
        <v>90</v>
      </c>
      <c r="BA6" s="1" t="s">
        <v>90</v>
      </c>
      <c r="BB6" s="1" t="s">
        <v>90</v>
      </c>
      <c r="BC6" s="1" t="s">
        <v>90</v>
      </c>
      <c r="BD6" s="1" t="s">
        <v>90</v>
      </c>
      <c r="BE6" s="1" t="s">
        <v>90</v>
      </c>
      <c r="BF6" s="1" t="s">
        <v>90</v>
      </c>
      <c r="BG6" s="1" t="s">
        <v>90</v>
      </c>
      <c r="BH6" s="1" t="s">
        <v>90</v>
      </c>
      <c r="BI6" s="1" t="s">
        <v>90</v>
      </c>
      <c r="BJ6" s="1" t="s">
        <v>90</v>
      </c>
      <c r="BK6" s="1" t="s">
        <v>90</v>
      </c>
      <c r="BL6" s="1" t="s">
        <v>90</v>
      </c>
      <c r="BM6" s="1" t="s">
        <v>90</v>
      </c>
      <c r="BN6" s="1" t="s">
        <v>90</v>
      </c>
      <c r="BO6" s="1" t="s">
        <v>90</v>
      </c>
      <c r="BP6" s="1" t="s">
        <v>90</v>
      </c>
      <c r="BQ6" s="1" t="s">
        <v>90</v>
      </c>
      <c r="BR6" s="1" t="s">
        <v>90</v>
      </c>
      <c r="BS6" s="1" t="s">
        <v>90</v>
      </c>
      <c r="BT6" s="1" t="s">
        <v>90</v>
      </c>
      <c r="BU6" s="1" t="s">
        <v>90</v>
      </c>
      <c r="BV6" s="1" t="s">
        <v>90</v>
      </c>
    </row>
    <row r="7" spans="1:74" x14ac:dyDescent="0.25">
      <c r="A7" s="1">
        <v>400</v>
      </c>
      <c r="B7" s="1" t="e">
        <f>AVERAGEIF(SttcTable[Inter-Electrode Distance],$A7,SttcTable[STTC])</f>
        <v>#DIV/0!</v>
      </c>
      <c r="J7" s="6" t="s">
        <v>27</v>
      </c>
      <c r="K7" s="1" t="s">
        <v>90</v>
      </c>
      <c r="L7" s="1">
        <v>1</v>
      </c>
      <c r="M7" s="1" t="s">
        <v>90</v>
      </c>
      <c r="N7" s="1" t="s">
        <v>90</v>
      </c>
      <c r="O7" s="1" t="s">
        <v>90</v>
      </c>
      <c r="P7" s="1" t="s">
        <v>90</v>
      </c>
      <c r="Q7" s="1" t="s">
        <v>90</v>
      </c>
      <c r="T7" s="1" t="s">
        <v>90</v>
      </c>
      <c r="U7" s="1" t="s">
        <v>90</v>
      </c>
      <c r="V7" s="1" t="s">
        <v>90</v>
      </c>
      <c r="W7" s="1" t="s">
        <v>90</v>
      </c>
      <c r="X7" s="1" t="s">
        <v>90</v>
      </c>
      <c r="Y7" s="1" t="s">
        <v>90</v>
      </c>
      <c r="Z7" s="1" t="s">
        <v>90</v>
      </c>
      <c r="AA7" s="1" t="s">
        <v>90</v>
      </c>
      <c r="AB7" s="1" t="s">
        <v>90</v>
      </c>
      <c r="AC7" s="1" t="s">
        <v>90</v>
      </c>
      <c r="AD7" s="1" t="s">
        <v>90</v>
      </c>
      <c r="AE7" s="1" t="s">
        <v>90</v>
      </c>
      <c r="AF7" s="1" t="s">
        <v>90</v>
      </c>
      <c r="AG7" s="1" t="s">
        <v>90</v>
      </c>
      <c r="AH7" s="1" t="s">
        <v>90</v>
      </c>
      <c r="AI7" s="1" t="s">
        <v>90</v>
      </c>
      <c r="AJ7" s="1" t="s">
        <v>90</v>
      </c>
      <c r="AK7" s="1" t="s">
        <v>90</v>
      </c>
      <c r="AL7" s="1" t="s">
        <v>90</v>
      </c>
      <c r="AM7" s="1" t="s">
        <v>90</v>
      </c>
      <c r="AN7" s="1" t="s">
        <v>90</v>
      </c>
      <c r="AO7" s="1" t="s">
        <v>90</v>
      </c>
      <c r="AP7" s="1" t="s">
        <v>90</v>
      </c>
      <c r="AQ7" s="1" t="s">
        <v>90</v>
      </c>
      <c r="AR7" s="1" t="s">
        <v>90</v>
      </c>
      <c r="AS7" s="1" t="s">
        <v>90</v>
      </c>
      <c r="AT7" s="1" t="s">
        <v>90</v>
      </c>
      <c r="AU7" s="1" t="s">
        <v>90</v>
      </c>
      <c r="AV7" s="1" t="s">
        <v>90</v>
      </c>
      <c r="AW7" s="1" t="s">
        <v>90</v>
      </c>
      <c r="AX7" s="1" t="s">
        <v>90</v>
      </c>
      <c r="AY7" s="1" t="s">
        <v>90</v>
      </c>
      <c r="AZ7" s="1" t="s">
        <v>90</v>
      </c>
      <c r="BA7" s="1" t="s">
        <v>90</v>
      </c>
      <c r="BB7" s="1" t="s">
        <v>90</v>
      </c>
      <c r="BC7" s="1" t="s">
        <v>90</v>
      </c>
      <c r="BD7" s="1" t="s">
        <v>90</v>
      </c>
      <c r="BE7" s="1" t="s">
        <v>90</v>
      </c>
      <c r="BF7" s="1" t="s">
        <v>90</v>
      </c>
      <c r="BG7" s="1" t="s">
        <v>90</v>
      </c>
      <c r="BH7" s="1" t="s">
        <v>90</v>
      </c>
      <c r="BI7" s="1" t="s">
        <v>90</v>
      </c>
      <c r="BJ7" s="1" t="s">
        <v>90</v>
      </c>
      <c r="BK7" s="1" t="s">
        <v>90</v>
      </c>
      <c r="BL7" s="1" t="s">
        <v>90</v>
      </c>
      <c r="BM7" s="1" t="s">
        <v>90</v>
      </c>
      <c r="BN7" s="1" t="s">
        <v>90</v>
      </c>
      <c r="BO7" s="1" t="s">
        <v>90</v>
      </c>
      <c r="BP7" s="1" t="s">
        <v>90</v>
      </c>
      <c r="BQ7" s="1" t="s">
        <v>90</v>
      </c>
      <c r="BR7" s="1" t="s">
        <v>90</v>
      </c>
      <c r="BS7" s="1" t="s">
        <v>90</v>
      </c>
      <c r="BT7" s="1" t="s">
        <v>90</v>
      </c>
      <c r="BU7" s="1" t="s">
        <v>90</v>
      </c>
      <c r="BV7" s="1" t="s">
        <v>90</v>
      </c>
    </row>
    <row r="8" spans="1:74" x14ac:dyDescent="0.25">
      <c r="A8" s="1">
        <v>600</v>
      </c>
      <c r="B8" s="1" t="e">
        <f>AVERAGEIF(SttcTable[Inter-Electrode Distance],$A8,SttcTable[STTC])</f>
        <v>#DIV/0!</v>
      </c>
      <c r="J8" s="6" t="s">
        <v>28</v>
      </c>
      <c r="K8" s="1" t="s">
        <v>90</v>
      </c>
      <c r="L8" s="1" t="s">
        <v>90</v>
      </c>
      <c r="M8" s="1">
        <v>1</v>
      </c>
      <c r="N8" s="1" t="s">
        <v>90</v>
      </c>
      <c r="O8" s="1" t="s">
        <v>90</v>
      </c>
      <c r="P8" s="1" t="s">
        <v>90</v>
      </c>
      <c r="Q8" s="1" t="s">
        <v>90</v>
      </c>
      <c r="T8" s="1" t="s">
        <v>90</v>
      </c>
      <c r="U8" s="1" t="s">
        <v>90</v>
      </c>
      <c r="V8" s="1" t="s">
        <v>90</v>
      </c>
      <c r="W8" s="1" t="s">
        <v>90</v>
      </c>
      <c r="X8" s="1" t="s">
        <v>90</v>
      </c>
      <c r="Y8" s="1" t="s">
        <v>90</v>
      </c>
      <c r="Z8" s="1" t="s">
        <v>90</v>
      </c>
      <c r="AA8" s="1" t="s">
        <v>90</v>
      </c>
      <c r="AB8" s="1" t="s">
        <v>90</v>
      </c>
      <c r="AC8" s="1" t="s">
        <v>90</v>
      </c>
      <c r="AD8" s="1" t="s">
        <v>90</v>
      </c>
      <c r="AE8" s="1" t="s">
        <v>90</v>
      </c>
      <c r="AF8" s="1" t="s">
        <v>90</v>
      </c>
      <c r="AG8" s="1" t="s">
        <v>90</v>
      </c>
      <c r="AH8" s="1" t="s">
        <v>90</v>
      </c>
      <c r="AI8" s="1" t="s">
        <v>90</v>
      </c>
      <c r="AJ8" s="1" t="s">
        <v>90</v>
      </c>
      <c r="AK8" s="1" t="s">
        <v>90</v>
      </c>
      <c r="AL8" s="1" t="s">
        <v>90</v>
      </c>
      <c r="AM8" s="1" t="s">
        <v>90</v>
      </c>
      <c r="AN8" s="1" t="s">
        <v>90</v>
      </c>
      <c r="AO8" s="1" t="s">
        <v>90</v>
      </c>
      <c r="AP8" s="1" t="s">
        <v>90</v>
      </c>
      <c r="AQ8" s="1" t="s">
        <v>90</v>
      </c>
      <c r="AR8" s="1" t="s">
        <v>90</v>
      </c>
      <c r="AS8" s="1" t="s">
        <v>90</v>
      </c>
      <c r="AT8" s="1" t="s">
        <v>90</v>
      </c>
      <c r="AU8" s="1" t="s">
        <v>90</v>
      </c>
      <c r="AV8" s="1" t="s">
        <v>90</v>
      </c>
      <c r="AW8" s="1" t="s">
        <v>90</v>
      </c>
      <c r="AX8" s="1" t="s">
        <v>90</v>
      </c>
      <c r="AY8" s="1" t="s">
        <v>90</v>
      </c>
      <c r="AZ8" s="1" t="s">
        <v>90</v>
      </c>
      <c r="BA8" s="1" t="s">
        <v>90</v>
      </c>
      <c r="BB8" s="1" t="s">
        <v>90</v>
      </c>
      <c r="BC8" s="1" t="s">
        <v>90</v>
      </c>
      <c r="BD8" s="1" t="s">
        <v>90</v>
      </c>
      <c r="BE8" s="1" t="s">
        <v>90</v>
      </c>
      <c r="BF8" s="1" t="s">
        <v>90</v>
      </c>
      <c r="BG8" s="1" t="s">
        <v>90</v>
      </c>
      <c r="BH8" s="1" t="s">
        <v>90</v>
      </c>
      <c r="BI8" s="1" t="s">
        <v>90</v>
      </c>
      <c r="BJ8" s="1" t="s">
        <v>90</v>
      </c>
      <c r="BK8" s="1" t="s">
        <v>90</v>
      </c>
      <c r="BL8" s="1" t="s">
        <v>90</v>
      </c>
      <c r="BM8" s="1" t="s">
        <v>90</v>
      </c>
      <c r="BN8" s="1" t="s">
        <v>90</v>
      </c>
      <c r="BO8" s="1" t="s">
        <v>90</v>
      </c>
      <c r="BP8" s="1" t="s">
        <v>90</v>
      </c>
      <c r="BQ8" s="1" t="s">
        <v>90</v>
      </c>
      <c r="BR8" s="1" t="s">
        <v>90</v>
      </c>
      <c r="BS8" s="1" t="s">
        <v>90</v>
      </c>
      <c r="BT8" s="1" t="s">
        <v>90</v>
      </c>
      <c r="BU8" s="1" t="s">
        <v>90</v>
      </c>
      <c r="BV8" s="1" t="s">
        <v>90</v>
      </c>
    </row>
    <row r="9" spans="1:74" x14ac:dyDescent="0.25">
      <c r="A9" s="1">
        <v>800</v>
      </c>
      <c r="B9" s="1" t="e">
        <f>AVERAGEIF(SttcTable[Inter-Electrode Distance],$A9,SttcTable[STTC])</f>
        <v>#DIV/0!</v>
      </c>
      <c r="J9" s="6" t="s">
        <v>29</v>
      </c>
      <c r="K9" s="1" t="s">
        <v>90</v>
      </c>
      <c r="L9" s="1" t="s">
        <v>90</v>
      </c>
      <c r="M9" s="1" t="s">
        <v>90</v>
      </c>
      <c r="N9" s="1">
        <v>1</v>
      </c>
      <c r="O9" s="1" t="s">
        <v>90</v>
      </c>
      <c r="P9" s="1" t="s">
        <v>90</v>
      </c>
      <c r="Q9" s="1" t="s">
        <v>90</v>
      </c>
      <c r="T9" s="1" t="s">
        <v>90</v>
      </c>
      <c r="U9" s="1" t="s">
        <v>90</v>
      </c>
      <c r="V9" s="1" t="s">
        <v>90</v>
      </c>
      <c r="W9" s="1" t="s">
        <v>90</v>
      </c>
      <c r="X9" s="1" t="s">
        <v>90</v>
      </c>
      <c r="Y9" s="1" t="s">
        <v>90</v>
      </c>
      <c r="Z9" s="1" t="s">
        <v>90</v>
      </c>
      <c r="AA9" s="1" t="s">
        <v>90</v>
      </c>
      <c r="AB9" s="1" t="s">
        <v>90</v>
      </c>
      <c r="AC9" s="1" t="s">
        <v>90</v>
      </c>
      <c r="AD9" s="1" t="s">
        <v>90</v>
      </c>
      <c r="AE9" s="1" t="s">
        <v>90</v>
      </c>
      <c r="AF9" s="1" t="s">
        <v>90</v>
      </c>
      <c r="AG9" s="1" t="s">
        <v>90</v>
      </c>
      <c r="AH9" s="1" t="s">
        <v>90</v>
      </c>
      <c r="AI9" s="1" t="s">
        <v>90</v>
      </c>
      <c r="AJ9" s="1" t="s">
        <v>90</v>
      </c>
      <c r="AK9" s="1" t="s">
        <v>90</v>
      </c>
      <c r="AL9" s="1" t="s">
        <v>90</v>
      </c>
      <c r="AM9" s="1" t="s">
        <v>90</v>
      </c>
      <c r="AN9" s="1" t="s">
        <v>90</v>
      </c>
      <c r="AO9" s="1" t="s">
        <v>90</v>
      </c>
      <c r="AP9" s="1" t="s">
        <v>90</v>
      </c>
      <c r="AQ9" s="1" t="s">
        <v>90</v>
      </c>
      <c r="AR9" s="1" t="s">
        <v>90</v>
      </c>
      <c r="AS9" s="1" t="s">
        <v>90</v>
      </c>
      <c r="AT9" s="1" t="s">
        <v>90</v>
      </c>
      <c r="AU9" s="1" t="s">
        <v>90</v>
      </c>
      <c r="AV9" s="1" t="s">
        <v>90</v>
      </c>
      <c r="AW9" s="1" t="s">
        <v>90</v>
      </c>
      <c r="AX9" s="1" t="s">
        <v>90</v>
      </c>
      <c r="AY9" s="1" t="s">
        <v>90</v>
      </c>
      <c r="AZ9" s="1" t="s">
        <v>90</v>
      </c>
      <c r="BA9" s="1" t="s">
        <v>90</v>
      </c>
      <c r="BB9" s="1" t="s">
        <v>90</v>
      </c>
      <c r="BC9" s="1" t="s">
        <v>90</v>
      </c>
      <c r="BD9" s="1" t="s">
        <v>90</v>
      </c>
      <c r="BE9" s="1" t="s">
        <v>90</v>
      </c>
      <c r="BF9" s="1" t="s">
        <v>90</v>
      </c>
      <c r="BG9" s="1" t="s">
        <v>90</v>
      </c>
      <c r="BH9" s="1" t="s">
        <v>90</v>
      </c>
      <c r="BI9" s="1" t="s">
        <v>90</v>
      </c>
      <c r="BJ9" s="1" t="s">
        <v>90</v>
      </c>
      <c r="BK9" s="1" t="s">
        <v>90</v>
      </c>
      <c r="BL9" s="1" t="s">
        <v>90</v>
      </c>
      <c r="BM9" s="1" t="s">
        <v>90</v>
      </c>
      <c r="BN9" s="1" t="s">
        <v>90</v>
      </c>
      <c r="BO9" s="1" t="s">
        <v>90</v>
      </c>
      <c r="BP9" s="1" t="s">
        <v>90</v>
      </c>
      <c r="BQ9" s="1" t="s">
        <v>90</v>
      </c>
      <c r="BR9" s="1" t="s">
        <v>90</v>
      </c>
      <c r="BS9" s="1" t="s">
        <v>90</v>
      </c>
      <c r="BT9" s="1" t="s">
        <v>90</v>
      </c>
      <c r="BU9" s="1" t="s">
        <v>90</v>
      </c>
      <c r="BV9" s="1" t="s">
        <v>90</v>
      </c>
    </row>
    <row r="10" spans="1:74" x14ac:dyDescent="0.25">
      <c r="A10" s="1">
        <v>1000</v>
      </c>
      <c r="B10" s="1" t="e">
        <f>AVERAGEIF(SttcTable[Inter-Electrode Distance],$A10,SttcTable[STTC])</f>
        <v>#DIV/0!</v>
      </c>
      <c r="J10" s="6" t="s">
        <v>30</v>
      </c>
      <c r="K10" s="1" t="s">
        <v>90</v>
      </c>
      <c r="L10" s="1" t="s">
        <v>90</v>
      </c>
      <c r="M10" s="1" t="s">
        <v>90</v>
      </c>
      <c r="N10" s="1" t="s">
        <v>90</v>
      </c>
      <c r="O10" s="1">
        <v>1</v>
      </c>
      <c r="P10" s="1" t="s">
        <v>90</v>
      </c>
      <c r="Q10" s="1" t="s">
        <v>90</v>
      </c>
      <c r="T10" s="1" t="s">
        <v>90</v>
      </c>
      <c r="U10" s="1" t="s">
        <v>90</v>
      </c>
      <c r="V10" s="1" t="s">
        <v>90</v>
      </c>
      <c r="W10" s="1" t="s">
        <v>90</v>
      </c>
      <c r="X10" s="1" t="s">
        <v>90</v>
      </c>
      <c r="Y10" s="1" t="s">
        <v>90</v>
      </c>
      <c r="Z10" s="1" t="s">
        <v>90</v>
      </c>
      <c r="AA10" s="1" t="s">
        <v>90</v>
      </c>
      <c r="AB10" s="1" t="s">
        <v>90</v>
      </c>
      <c r="AC10" s="1" t="s">
        <v>90</v>
      </c>
      <c r="AD10" s="1" t="s">
        <v>90</v>
      </c>
      <c r="AE10" s="1" t="s">
        <v>90</v>
      </c>
      <c r="AF10" s="1" t="s">
        <v>90</v>
      </c>
      <c r="AG10" s="1" t="s">
        <v>90</v>
      </c>
      <c r="AH10" s="1" t="s">
        <v>90</v>
      </c>
      <c r="AI10" s="1" t="s">
        <v>90</v>
      </c>
      <c r="AJ10" s="1" t="s">
        <v>90</v>
      </c>
      <c r="AK10" s="1" t="s">
        <v>90</v>
      </c>
      <c r="AL10" s="1" t="s">
        <v>90</v>
      </c>
      <c r="AM10" s="1" t="s">
        <v>90</v>
      </c>
      <c r="AN10" s="1" t="s">
        <v>90</v>
      </c>
      <c r="AO10" s="1" t="s">
        <v>90</v>
      </c>
      <c r="AP10" s="1" t="s">
        <v>90</v>
      </c>
      <c r="AQ10" s="1" t="s">
        <v>90</v>
      </c>
      <c r="AR10" s="1" t="s">
        <v>90</v>
      </c>
      <c r="AS10" s="1" t="s">
        <v>90</v>
      </c>
      <c r="AT10" s="1" t="s">
        <v>90</v>
      </c>
      <c r="AU10" s="1" t="s">
        <v>90</v>
      </c>
      <c r="AV10" s="1" t="s">
        <v>90</v>
      </c>
      <c r="AW10" s="1" t="s">
        <v>90</v>
      </c>
      <c r="AX10" s="1" t="s">
        <v>90</v>
      </c>
      <c r="AY10" s="1" t="s">
        <v>90</v>
      </c>
      <c r="AZ10" s="1" t="s">
        <v>90</v>
      </c>
      <c r="BA10" s="1" t="s">
        <v>90</v>
      </c>
      <c r="BB10" s="1" t="s">
        <v>90</v>
      </c>
      <c r="BC10" s="1" t="s">
        <v>90</v>
      </c>
      <c r="BD10" s="1" t="s">
        <v>90</v>
      </c>
      <c r="BE10" s="1" t="s">
        <v>90</v>
      </c>
      <c r="BF10" s="1" t="s">
        <v>90</v>
      </c>
      <c r="BG10" s="1" t="s">
        <v>90</v>
      </c>
      <c r="BH10" s="1" t="s">
        <v>90</v>
      </c>
      <c r="BI10" s="1" t="s">
        <v>90</v>
      </c>
      <c r="BJ10" s="1" t="s">
        <v>90</v>
      </c>
      <c r="BK10" s="1" t="s">
        <v>90</v>
      </c>
      <c r="BL10" s="1" t="s">
        <v>90</v>
      </c>
      <c r="BM10" s="1" t="s">
        <v>90</v>
      </c>
      <c r="BN10" s="1" t="s">
        <v>90</v>
      </c>
      <c r="BO10" s="1" t="s">
        <v>90</v>
      </c>
      <c r="BP10" s="1" t="s">
        <v>90</v>
      </c>
      <c r="BQ10" s="1" t="s">
        <v>90</v>
      </c>
      <c r="BR10" s="1" t="s">
        <v>90</v>
      </c>
      <c r="BS10" s="1" t="s">
        <v>90</v>
      </c>
      <c r="BT10" s="1" t="s">
        <v>90</v>
      </c>
      <c r="BU10" s="1" t="s">
        <v>90</v>
      </c>
      <c r="BV10" s="1" t="s">
        <v>90</v>
      </c>
    </row>
    <row r="11" spans="1:74" x14ac:dyDescent="0.25">
      <c r="A11" s="1">
        <v>1200</v>
      </c>
      <c r="B11" s="1" t="e">
        <f>AVERAGEIF(SttcTable[Inter-Electrode Distance],$A11,SttcTable[STTC])</f>
        <v>#DIV/0!</v>
      </c>
      <c r="J11" s="6" t="s">
        <v>31</v>
      </c>
      <c r="K11" s="1" t="s">
        <v>90</v>
      </c>
      <c r="L11" s="1" t="s">
        <v>90</v>
      </c>
      <c r="M11" s="1" t="s">
        <v>90</v>
      </c>
      <c r="N11" s="1" t="s">
        <v>90</v>
      </c>
      <c r="O11" s="1" t="s">
        <v>90</v>
      </c>
      <c r="P11" s="1">
        <v>1</v>
      </c>
      <c r="Q11" s="1" t="s">
        <v>90</v>
      </c>
      <c r="R11" s="1" t="s">
        <v>90</v>
      </c>
      <c r="S11" s="1" t="s">
        <v>90</v>
      </c>
      <c r="T11" s="1" t="s">
        <v>90</v>
      </c>
      <c r="U11" s="1" t="s">
        <v>90</v>
      </c>
      <c r="V11" s="1" t="s">
        <v>90</v>
      </c>
      <c r="W11" s="1" t="s">
        <v>90</v>
      </c>
      <c r="X11" s="1" t="s">
        <v>90</v>
      </c>
      <c r="Y11" s="1" t="s">
        <v>90</v>
      </c>
      <c r="Z11" s="1" t="s">
        <v>90</v>
      </c>
      <c r="AA11" s="1" t="s">
        <v>90</v>
      </c>
      <c r="AB11" s="1" t="s">
        <v>90</v>
      </c>
      <c r="AC11" s="1" t="s">
        <v>90</v>
      </c>
      <c r="AD11" s="1" t="s">
        <v>90</v>
      </c>
      <c r="AE11" s="1" t="s">
        <v>90</v>
      </c>
      <c r="AF11" s="1" t="s">
        <v>90</v>
      </c>
      <c r="AG11" s="1" t="s">
        <v>90</v>
      </c>
      <c r="AH11" s="1" t="s">
        <v>90</v>
      </c>
      <c r="AI11" s="1" t="s">
        <v>90</v>
      </c>
      <c r="AJ11" s="1" t="s">
        <v>90</v>
      </c>
      <c r="AK11" s="1" t="s">
        <v>90</v>
      </c>
      <c r="AL11" s="1" t="s">
        <v>90</v>
      </c>
      <c r="AM11" s="1" t="s">
        <v>90</v>
      </c>
      <c r="AN11" s="1" t="s">
        <v>90</v>
      </c>
      <c r="AO11" s="1" t="s">
        <v>90</v>
      </c>
      <c r="AP11" s="1" t="s">
        <v>90</v>
      </c>
      <c r="AQ11" s="1" t="s">
        <v>90</v>
      </c>
      <c r="AR11" s="1" t="s">
        <v>90</v>
      </c>
      <c r="AS11" s="1" t="s">
        <v>90</v>
      </c>
      <c r="AT11" s="1" t="s">
        <v>90</v>
      </c>
      <c r="AU11" s="1" t="s">
        <v>90</v>
      </c>
      <c r="AV11" s="1" t="s">
        <v>90</v>
      </c>
      <c r="AW11" s="1" t="s">
        <v>90</v>
      </c>
      <c r="AX11" s="1" t="s">
        <v>90</v>
      </c>
      <c r="AY11" s="1" t="s">
        <v>90</v>
      </c>
      <c r="AZ11" s="1" t="s">
        <v>90</v>
      </c>
      <c r="BA11" s="1" t="s">
        <v>90</v>
      </c>
      <c r="BB11" s="1" t="s">
        <v>90</v>
      </c>
      <c r="BC11" s="1" t="s">
        <v>90</v>
      </c>
      <c r="BD11" s="1" t="s">
        <v>90</v>
      </c>
      <c r="BE11" s="1" t="s">
        <v>90</v>
      </c>
      <c r="BF11" s="1" t="s">
        <v>90</v>
      </c>
      <c r="BG11" s="1" t="s">
        <v>90</v>
      </c>
      <c r="BH11" s="1" t="s">
        <v>90</v>
      </c>
      <c r="BI11" s="1" t="s">
        <v>90</v>
      </c>
      <c r="BJ11" s="1" t="s">
        <v>90</v>
      </c>
      <c r="BK11" s="1" t="s">
        <v>90</v>
      </c>
      <c r="BL11" s="1" t="s">
        <v>90</v>
      </c>
      <c r="BM11" s="1" t="s">
        <v>90</v>
      </c>
      <c r="BN11" s="1" t="s">
        <v>90</v>
      </c>
      <c r="BO11" s="1" t="s">
        <v>90</v>
      </c>
      <c r="BP11" s="1" t="s">
        <v>90</v>
      </c>
      <c r="BQ11" s="1" t="s">
        <v>90</v>
      </c>
      <c r="BR11" s="1" t="s">
        <v>90</v>
      </c>
      <c r="BS11" s="1" t="s">
        <v>90</v>
      </c>
      <c r="BT11" s="1" t="s">
        <v>90</v>
      </c>
      <c r="BU11" s="1" t="s">
        <v>90</v>
      </c>
      <c r="BV11" s="1" t="s">
        <v>90</v>
      </c>
    </row>
    <row r="12" spans="1:74" x14ac:dyDescent="0.25">
      <c r="A12" s="1">
        <v>1400</v>
      </c>
      <c r="B12" s="1" t="e">
        <f>AVERAGEIF(SttcTable[Inter-Electrode Distance],$A12,SttcTable[STTC])</f>
        <v>#DIV/0!</v>
      </c>
      <c r="J12" s="6" t="s">
        <v>32</v>
      </c>
      <c r="K12" s="1" t="s">
        <v>90</v>
      </c>
      <c r="L12" s="1" t="s">
        <v>90</v>
      </c>
      <c r="M12" s="1" t="s">
        <v>90</v>
      </c>
      <c r="N12" s="1" t="s">
        <v>90</v>
      </c>
      <c r="O12" s="1" t="s">
        <v>90</v>
      </c>
      <c r="P12" s="1" t="s">
        <v>90</v>
      </c>
      <c r="Q12" s="1">
        <v>1</v>
      </c>
      <c r="R12" s="1" t="s">
        <v>90</v>
      </c>
      <c r="S12" s="1" t="s">
        <v>90</v>
      </c>
      <c r="T12" s="1" t="s">
        <v>90</v>
      </c>
      <c r="U12" s="1" t="s">
        <v>90</v>
      </c>
      <c r="V12" s="1" t="s">
        <v>90</v>
      </c>
      <c r="W12" s="1" t="s">
        <v>90</v>
      </c>
      <c r="X12" s="1" t="s">
        <v>90</v>
      </c>
      <c r="Y12" s="1" t="s">
        <v>90</v>
      </c>
      <c r="Z12" s="1" t="s">
        <v>90</v>
      </c>
      <c r="AA12" s="1" t="s">
        <v>90</v>
      </c>
      <c r="AB12" s="1" t="s">
        <v>90</v>
      </c>
      <c r="AC12" s="1" t="s">
        <v>90</v>
      </c>
      <c r="AD12" s="1" t="s">
        <v>90</v>
      </c>
      <c r="AE12" s="1" t="s">
        <v>90</v>
      </c>
      <c r="AF12" s="1" t="s">
        <v>90</v>
      </c>
      <c r="AG12" s="1" t="s">
        <v>90</v>
      </c>
      <c r="AH12" s="1" t="s">
        <v>90</v>
      </c>
      <c r="AI12" s="1" t="s">
        <v>90</v>
      </c>
      <c r="AJ12" s="1" t="s">
        <v>90</v>
      </c>
      <c r="AK12" s="1" t="s">
        <v>90</v>
      </c>
      <c r="AL12" s="1" t="s">
        <v>90</v>
      </c>
      <c r="AM12" s="1" t="s">
        <v>90</v>
      </c>
      <c r="AN12" s="1" t="s">
        <v>90</v>
      </c>
      <c r="AO12" s="1" t="s">
        <v>90</v>
      </c>
      <c r="AP12" s="1" t="s">
        <v>90</v>
      </c>
      <c r="AQ12" s="1" t="s">
        <v>90</v>
      </c>
      <c r="AR12" s="1" t="s">
        <v>90</v>
      </c>
      <c r="AS12" s="1" t="s">
        <v>90</v>
      </c>
      <c r="AT12" s="1" t="s">
        <v>90</v>
      </c>
      <c r="AU12" s="1" t="s">
        <v>90</v>
      </c>
      <c r="AV12" s="1" t="s">
        <v>90</v>
      </c>
      <c r="AW12" s="1" t="s">
        <v>90</v>
      </c>
      <c r="AX12" s="1" t="s">
        <v>90</v>
      </c>
      <c r="AY12" s="1" t="s">
        <v>90</v>
      </c>
      <c r="AZ12" s="1" t="s">
        <v>90</v>
      </c>
      <c r="BA12" s="1" t="s">
        <v>90</v>
      </c>
      <c r="BB12" s="1" t="s">
        <v>90</v>
      </c>
      <c r="BC12" s="1" t="s">
        <v>90</v>
      </c>
      <c r="BD12" s="1" t="s">
        <v>90</v>
      </c>
      <c r="BE12" s="1" t="s">
        <v>90</v>
      </c>
      <c r="BF12" s="1" t="s">
        <v>90</v>
      </c>
      <c r="BG12" s="1" t="s">
        <v>90</v>
      </c>
      <c r="BH12" s="1" t="s">
        <v>90</v>
      </c>
      <c r="BI12" s="1" t="s">
        <v>90</v>
      </c>
      <c r="BJ12" s="1" t="s">
        <v>90</v>
      </c>
      <c r="BK12" s="1" t="s">
        <v>90</v>
      </c>
      <c r="BL12" s="1" t="s">
        <v>90</v>
      </c>
      <c r="BM12" s="1" t="s">
        <v>90</v>
      </c>
      <c r="BN12" s="1" t="s">
        <v>90</v>
      </c>
      <c r="BO12" s="1" t="s">
        <v>90</v>
      </c>
      <c r="BP12" s="1" t="s">
        <v>90</v>
      </c>
      <c r="BQ12" s="1" t="s">
        <v>90</v>
      </c>
      <c r="BR12" s="1" t="s">
        <v>90</v>
      </c>
      <c r="BS12" s="1" t="s">
        <v>90</v>
      </c>
      <c r="BT12" s="1" t="s">
        <v>90</v>
      </c>
      <c r="BU12" s="1" t="s">
        <v>90</v>
      </c>
      <c r="BV12" s="1" t="s">
        <v>90</v>
      </c>
    </row>
    <row r="13" spans="1:74" x14ac:dyDescent="0.25">
      <c r="A13" s="1">
        <v>282.84271247461902</v>
      </c>
      <c r="B13" s="1" t="e">
        <f>AVERAGEIF(SttcTable[Inter-Electrode Distance],$A13,SttcTable[STTC])</f>
        <v>#DIV/0!</v>
      </c>
      <c r="J13" s="6" t="s">
        <v>33</v>
      </c>
      <c r="K13" s="1" t="s">
        <v>90</v>
      </c>
      <c r="L13" s="1" t="s">
        <v>90</v>
      </c>
      <c r="M13" s="1" t="s">
        <v>90</v>
      </c>
      <c r="N13" s="1" t="s">
        <v>90</v>
      </c>
      <c r="O13" s="1" t="s">
        <v>90</v>
      </c>
      <c r="P13" s="1" t="s">
        <v>90</v>
      </c>
      <c r="Q13" s="1" t="s">
        <v>90</v>
      </c>
      <c r="R13" s="1">
        <v>1</v>
      </c>
      <c r="S13" s="1" t="s">
        <v>90</v>
      </c>
      <c r="T13" s="1" t="s">
        <v>90</v>
      </c>
      <c r="U13" s="1" t="s">
        <v>90</v>
      </c>
      <c r="V13" s="1" t="s">
        <v>90</v>
      </c>
      <c r="W13" s="1" t="s">
        <v>90</v>
      </c>
      <c r="X13" s="1" t="s">
        <v>90</v>
      </c>
      <c r="Y13" s="1" t="s">
        <v>90</v>
      </c>
      <c r="Z13" s="1" t="s">
        <v>90</v>
      </c>
      <c r="AA13" s="1" t="s">
        <v>90</v>
      </c>
      <c r="AB13" s="1" t="s">
        <v>90</v>
      </c>
      <c r="AC13" s="1" t="s">
        <v>90</v>
      </c>
      <c r="AD13" s="1" t="s">
        <v>90</v>
      </c>
      <c r="AE13" s="1" t="s">
        <v>90</v>
      </c>
      <c r="AF13" s="1" t="s">
        <v>90</v>
      </c>
      <c r="AG13" s="1" t="s">
        <v>90</v>
      </c>
      <c r="AH13" s="1" t="s">
        <v>90</v>
      </c>
      <c r="AI13" s="1" t="s">
        <v>90</v>
      </c>
      <c r="AJ13" s="1" t="s">
        <v>90</v>
      </c>
      <c r="AK13" s="1" t="s">
        <v>90</v>
      </c>
      <c r="AL13" s="1" t="s">
        <v>90</v>
      </c>
      <c r="AM13" s="1" t="s">
        <v>90</v>
      </c>
      <c r="AN13" s="1" t="s">
        <v>90</v>
      </c>
      <c r="AO13" s="1" t="s">
        <v>90</v>
      </c>
      <c r="AP13" s="1" t="s">
        <v>90</v>
      </c>
      <c r="AQ13" s="1" t="s">
        <v>90</v>
      </c>
      <c r="AR13" s="1" t="s">
        <v>90</v>
      </c>
      <c r="AS13" s="1" t="s">
        <v>90</v>
      </c>
      <c r="AT13" s="1" t="s">
        <v>90</v>
      </c>
      <c r="AU13" s="1" t="s">
        <v>90</v>
      </c>
      <c r="AV13" s="1" t="s">
        <v>90</v>
      </c>
      <c r="AW13" s="1" t="s">
        <v>90</v>
      </c>
      <c r="AX13" s="1" t="s">
        <v>90</v>
      </c>
      <c r="AY13" s="1" t="s">
        <v>90</v>
      </c>
      <c r="AZ13" s="1" t="s">
        <v>90</v>
      </c>
      <c r="BA13" s="1" t="s">
        <v>90</v>
      </c>
      <c r="BB13" s="1" t="s">
        <v>90</v>
      </c>
      <c r="BC13" s="1" t="s">
        <v>90</v>
      </c>
      <c r="BD13" s="1" t="s">
        <v>90</v>
      </c>
      <c r="BE13" s="1" t="s">
        <v>90</v>
      </c>
      <c r="BF13" s="1" t="s">
        <v>90</v>
      </c>
      <c r="BG13" s="1" t="s">
        <v>90</v>
      </c>
      <c r="BH13" s="1" t="s">
        <v>90</v>
      </c>
      <c r="BI13" s="1" t="s">
        <v>90</v>
      </c>
      <c r="BJ13" s="1" t="s">
        <v>90</v>
      </c>
      <c r="BK13" s="1" t="s">
        <v>90</v>
      </c>
      <c r="BL13" s="1" t="s">
        <v>90</v>
      </c>
      <c r="BM13" s="1" t="s">
        <v>90</v>
      </c>
      <c r="BN13" s="1" t="s">
        <v>90</v>
      </c>
      <c r="BO13" s="1" t="s">
        <v>90</v>
      </c>
      <c r="BP13" s="1" t="s">
        <v>90</v>
      </c>
      <c r="BQ13" s="1" t="s">
        <v>90</v>
      </c>
      <c r="BR13" s="1" t="s">
        <v>90</v>
      </c>
      <c r="BS13" s="1" t="s">
        <v>90</v>
      </c>
      <c r="BT13" s="1" t="s">
        <v>90</v>
      </c>
      <c r="BU13" s="1" t="s">
        <v>90</v>
      </c>
      <c r="BV13" s="1" t="s">
        <v>90</v>
      </c>
    </row>
    <row r="14" spans="1:74" x14ac:dyDescent="0.25">
      <c r="A14" s="1">
        <v>447.21359549995793</v>
      </c>
      <c r="B14" s="1" t="e">
        <f>AVERAGEIF(SttcTable[Inter-Electrode Distance],$A14,SttcTable[STTC])</f>
        <v>#DIV/0!</v>
      </c>
      <c r="J14" s="6" t="s">
        <v>34</v>
      </c>
      <c r="K14" s="1" t="s">
        <v>90</v>
      </c>
      <c r="L14" s="1" t="s">
        <v>90</v>
      </c>
      <c r="M14" s="1" t="s">
        <v>90</v>
      </c>
      <c r="N14" s="1" t="s">
        <v>90</v>
      </c>
      <c r="O14" s="1" t="s">
        <v>90</v>
      </c>
      <c r="P14" s="1" t="s">
        <v>90</v>
      </c>
      <c r="Q14" s="1" t="s">
        <v>90</v>
      </c>
      <c r="R14" s="1" t="s">
        <v>90</v>
      </c>
      <c r="S14" s="1">
        <v>1</v>
      </c>
      <c r="T14" s="1" t="s">
        <v>90</v>
      </c>
      <c r="U14" s="1" t="s">
        <v>90</v>
      </c>
      <c r="V14" s="1" t="s">
        <v>90</v>
      </c>
      <c r="W14" s="1" t="s">
        <v>90</v>
      </c>
      <c r="X14" s="1" t="s">
        <v>90</v>
      </c>
      <c r="Y14" s="1" t="s">
        <v>90</v>
      </c>
      <c r="Z14" s="1" t="s">
        <v>90</v>
      </c>
      <c r="AA14" s="1" t="s">
        <v>90</v>
      </c>
      <c r="AB14" s="1" t="s">
        <v>90</v>
      </c>
      <c r="AC14" s="1" t="s">
        <v>90</v>
      </c>
      <c r="AD14" s="1" t="s">
        <v>90</v>
      </c>
      <c r="AE14" s="1" t="s">
        <v>90</v>
      </c>
      <c r="AF14" s="1" t="s">
        <v>90</v>
      </c>
      <c r="AG14" s="1" t="s">
        <v>90</v>
      </c>
      <c r="AH14" s="1" t="s">
        <v>90</v>
      </c>
      <c r="AI14" s="1" t="s">
        <v>90</v>
      </c>
      <c r="AJ14" s="1" t="s">
        <v>90</v>
      </c>
      <c r="AK14" s="1" t="s">
        <v>90</v>
      </c>
      <c r="AL14" s="1" t="s">
        <v>90</v>
      </c>
      <c r="AM14" s="1" t="s">
        <v>90</v>
      </c>
      <c r="AN14" s="1" t="s">
        <v>90</v>
      </c>
      <c r="AO14" s="1" t="s">
        <v>90</v>
      </c>
      <c r="AP14" s="1" t="s">
        <v>90</v>
      </c>
      <c r="AQ14" s="1" t="s">
        <v>90</v>
      </c>
      <c r="AR14" s="1" t="s">
        <v>90</v>
      </c>
      <c r="AS14" s="1" t="s">
        <v>90</v>
      </c>
      <c r="AT14" s="1" t="s">
        <v>90</v>
      </c>
      <c r="AU14" s="1" t="s">
        <v>90</v>
      </c>
      <c r="AV14" s="1" t="s">
        <v>90</v>
      </c>
      <c r="AW14" s="1" t="s">
        <v>90</v>
      </c>
      <c r="AX14" s="1" t="s">
        <v>90</v>
      </c>
      <c r="AY14" s="1" t="s">
        <v>90</v>
      </c>
      <c r="AZ14" s="1" t="s">
        <v>90</v>
      </c>
      <c r="BA14" s="1" t="s">
        <v>90</v>
      </c>
      <c r="BB14" s="1" t="s">
        <v>90</v>
      </c>
      <c r="BC14" s="1" t="s">
        <v>90</v>
      </c>
      <c r="BD14" s="1" t="s">
        <v>90</v>
      </c>
      <c r="BE14" s="1" t="s">
        <v>90</v>
      </c>
      <c r="BF14" s="1" t="s">
        <v>90</v>
      </c>
      <c r="BG14" s="1" t="s">
        <v>90</v>
      </c>
      <c r="BH14" s="1" t="s">
        <v>90</v>
      </c>
      <c r="BI14" s="1" t="s">
        <v>90</v>
      </c>
      <c r="BJ14" s="1" t="s">
        <v>90</v>
      </c>
      <c r="BK14" s="1" t="s">
        <v>90</v>
      </c>
      <c r="BL14" s="1" t="s">
        <v>90</v>
      </c>
      <c r="BM14" s="1" t="s">
        <v>90</v>
      </c>
      <c r="BN14" s="1" t="s">
        <v>90</v>
      </c>
      <c r="BO14" s="1" t="s">
        <v>90</v>
      </c>
      <c r="BP14" s="1" t="s">
        <v>90</v>
      </c>
      <c r="BQ14" s="1" t="s">
        <v>90</v>
      </c>
      <c r="BR14" s="1" t="s">
        <v>90</v>
      </c>
      <c r="BS14" s="1" t="s">
        <v>90</v>
      </c>
      <c r="BT14" s="1" t="s">
        <v>90</v>
      </c>
      <c r="BU14" s="1" t="s">
        <v>90</v>
      </c>
      <c r="BV14" s="1" t="s">
        <v>90</v>
      </c>
    </row>
    <row r="15" spans="1:74" x14ac:dyDescent="0.25">
      <c r="A15" s="1">
        <v>632.45553203367592</v>
      </c>
      <c r="B15" s="1" t="e">
        <f>AVERAGEIF(SttcTable[Inter-Electrode Distance],$A15,SttcTable[STTC])</f>
        <v>#DIV/0!</v>
      </c>
      <c r="J15" s="6" t="s">
        <v>35</v>
      </c>
      <c r="K15" s="1" t="s">
        <v>90</v>
      </c>
      <c r="L15" s="1" t="s">
        <v>90</v>
      </c>
      <c r="M15" s="1" t="s">
        <v>90</v>
      </c>
      <c r="N15" s="1" t="s">
        <v>90</v>
      </c>
      <c r="O15" s="1" t="s">
        <v>90</v>
      </c>
      <c r="P15" s="1" t="s">
        <v>90</v>
      </c>
      <c r="Q15" s="1" t="s">
        <v>90</v>
      </c>
      <c r="R15" s="1" t="s">
        <v>90</v>
      </c>
      <c r="S15" s="1" t="s">
        <v>90</v>
      </c>
      <c r="T15" s="1">
        <v>1</v>
      </c>
      <c r="U15" s="1" t="s">
        <v>90</v>
      </c>
      <c r="V15" s="1" t="s">
        <v>90</v>
      </c>
      <c r="W15" s="1" t="s">
        <v>90</v>
      </c>
      <c r="X15" s="1" t="s">
        <v>90</v>
      </c>
      <c r="Y15" s="1" t="s">
        <v>90</v>
      </c>
      <c r="Z15" s="1" t="s">
        <v>90</v>
      </c>
      <c r="AA15" s="1" t="s">
        <v>90</v>
      </c>
      <c r="AB15" s="1" t="s">
        <v>90</v>
      </c>
      <c r="AC15" s="1" t="s">
        <v>90</v>
      </c>
      <c r="AD15" s="1" t="s">
        <v>90</v>
      </c>
      <c r="AE15" s="1" t="s">
        <v>90</v>
      </c>
      <c r="AF15" s="1" t="s">
        <v>90</v>
      </c>
      <c r="AG15" s="1" t="s">
        <v>90</v>
      </c>
      <c r="AH15" s="1" t="s">
        <v>90</v>
      </c>
      <c r="AI15" s="1" t="s">
        <v>90</v>
      </c>
      <c r="AJ15" s="1" t="s">
        <v>90</v>
      </c>
      <c r="AK15" s="1" t="s">
        <v>90</v>
      </c>
      <c r="AL15" s="1" t="s">
        <v>90</v>
      </c>
      <c r="AM15" s="1" t="s">
        <v>90</v>
      </c>
      <c r="AN15" s="1" t="s">
        <v>90</v>
      </c>
      <c r="AO15" s="1" t="s">
        <v>90</v>
      </c>
      <c r="AP15" s="1" t="s">
        <v>90</v>
      </c>
      <c r="AQ15" s="1" t="s">
        <v>90</v>
      </c>
      <c r="AR15" s="1" t="s">
        <v>90</v>
      </c>
      <c r="AS15" s="1" t="s">
        <v>90</v>
      </c>
      <c r="AT15" s="1" t="s">
        <v>90</v>
      </c>
      <c r="AU15" s="1" t="s">
        <v>90</v>
      </c>
      <c r="AV15" s="1" t="s">
        <v>90</v>
      </c>
      <c r="AW15" s="1" t="s">
        <v>90</v>
      </c>
      <c r="AX15" s="1" t="s">
        <v>90</v>
      </c>
      <c r="AY15" s="1" t="s">
        <v>90</v>
      </c>
      <c r="AZ15" s="1" t="s">
        <v>90</v>
      </c>
      <c r="BA15" s="1" t="s">
        <v>90</v>
      </c>
      <c r="BB15" s="1" t="s">
        <v>90</v>
      </c>
      <c r="BC15" s="1" t="s">
        <v>90</v>
      </c>
      <c r="BD15" s="1" t="s">
        <v>90</v>
      </c>
      <c r="BE15" s="1" t="s">
        <v>90</v>
      </c>
      <c r="BF15" s="1" t="s">
        <v>90</v>
      </c>
      <c r="BG15" s="1" t="s">
        <v>90</v>
      </c>
      <c r="BH15" s="1" t="s">
        <v>90</v>
      </c>
      <c r="BI15" s="1" t="s">
        <v>90</v>
      </c>
      <c r="BJ15" s="1" t="s">
        <v>90</v>
      </c>
      <c r="BK15" s="1" t="s">
        <v>90</v>
      </c>
      <c r="BL15" s="1" t="s">
        <v>90</v>
      </c>
      <c r="BM15" s="1" t="s">
        <v>90</v>
      </c>
      <c r="BN15" s="1" t="s">
        <v>90</v>
      </c>
      <c r="BO15" s="1" t="s">
        <v>90</v>
      </c>
      <c r="BP15" s="1" t="s">
        <v>90</v>
      </c>
      <c r="BQ15" s="1" t="s">
        <v>90</v>
      </c>
      <c r="BR15" s="1" t="s">
        <v>90</v>
      </c>
      <c r="BS15" s="1" t="s">
        <v>90</v>
      </c>
      <c r="BT15" s="1" t="s">
        <v>90</v>
      </c>
      <c r="BU15" s="1" t="s">
        <v>90</v>
      </c>
      <c r="BV15" s="1" t="s">
        <v>90</v>
      </c>
    </row>
    <row r="16" spans="1:74" x14ac:dyDescent="0.25">
      <c r="A16" s="1">
        <v>824.62112512353212</v>
      </c>
      <c r="B16" s="1" t="e">
        <f>AVERAGEIF(SttcTable[Inter-Electrode Distance],$A16,SttcTable[STTC])</f>
        <v>#DIV/0!</v>
      </c>
      <c r="J16" s="6" t="s">
        <v>36</v>
      </c>
      <c r="K16" s="1" t="s">
        <v>90</v>
      </c>
      <c r="L16" s="1" t="s">
        <v>90</v>
      </c>
      <c r="M16" s="1" t="s">
        <v>90</v>
      </c>
      <c r="N16" s="1" t="s">
        <v>90</v>
      </c>
      <c r="O16" s="1" t="s">
        <v>90</v>
      </c>
      <c r="P16" s="1" t="s">
        <v>90</v>
      </c>
      <c r="Q16" s="1" t="s">
        <v>90</v>
      </c>
      <c r="R16" s="1" t="s">
        <v>90</v>
      </c>
      <c r="S16" s="1" t="s">
        <v>90</v>
      </c>
      <c r="T16" s="1" t="s">
        <v>90</v>
      </c>
      <c r="U16" s="1">
        <v>1</v>
      </c>
      <c r="V16" s="1" t="s">
        <v>90</v>
      </c>
      <c r="W16" s="1" t="s">
        <v>90</v>
      </c>
      <c r="X16" s="1" t="s">
        <v>90</v>
      </c>
      <c r="Y16" s="1" t="s">
        <v>90</v>
      </c>
      <c r="Z16" s="1" t="s">
        <v>90</v>
      </c>
      <c r="AA16" s="1" t="s">
        <v>90</v>
      </c>
      <c r="AB16" s="1" t="s">
        <v>90</v>
      </c>
      <c r="AC16" s="1" t="s">
        <v>90</v>
      </c>
      <c r="AD16" s="1" t="s">
        <v>90</v>
      </c>
      <c r="AE16" s="1" t="s">
        <v>90</v>
      </c>
      <c r="AF16" s="1" t="s">
        <v>90</v>
      </c>
      <c r="AG16" s="1" t="s">
        <v>90</v>
      </c>
      <c r="AH16" s="1" t="s">
        <v>90</v>
      </c>
      <c r="AI16" s="1" t="s">
        <v>90</v>
      </c>
      <c r="AJ16" s="1" t="s">
        <v>90</v>
      </c>
      <c r="AK16" s="1" t="s">
        <v>90</v>
      </c>
      <c r="AL16" s="1" t="s">
        <v>90</v>
      </c>
      <c r="AM16" s="1" t="s">
        <v>90</v>
      </c>
      <c r="AN16" s="1" t="s">
        <v>90</v>
      </c>
      <c r="AO16" s="1" t="s">
        <v>90</v>
      </c>
      <c r="AP16" s="1" t="s">
        <v>90</v>
      </c>
      <c r="AQ16" s="1" t="s">
        <v>90</v>
      </c>
      <c r="AR16" s="1" t="s">
        <v>90</v>
      </c>
      <c r="AS16" s="1" t="s">
        <v>90</v>
      </c>
      <c r="AT16" s="1" t="s">
        <v>90</v>
      </c>
      <c r="AU16" s="1" t="s">
        <v>90</v>
      </c>
      <c r="AV16" s="1" t="s">
        <v>90</v>
      </c>
      <c r="AW16" s="1" t="s">
        <v>90</v>
      </c>
      <c r="AX16" s="1" t="s">
        <v>90</v>
      </c>
      <c r="AY16" s="1" t="s">
        <v>90</v>
      </c>
      <c r="AZ16" s="1" t="s">
        <v>90</v>
      </c>
      <c r="BA16" s="1" t="s">
        <v>90</v>
      </c>
      <c r="BB16" s="1" t="s">
        <v>90</v>
      </c>
      <c r="BC16" s="1" t="s">
        <v>90</v>
      </c>
      <c r="BD16" s="1" t="s">
        <v>90</v>
      </c>
      <c r="BE16" s="1" t="s">
        <v>90</v>
      </c>
      <c r="BF16" s="1" t="s">
        <v>90</v>
      </c>
      <c r="BG16" s="1" t="s">
        <v>90</v>
      </c>
      <c r="BH16" s="1" t="s">
        <v>90</v>
      </c>
      <c r="BI16" s="1" t="s">
        <v>90</v>
      </c>
      <c r="BJ16" s="1" t="s">
        <v>90</v>
      </c>
      <c r="BK16" s="1" t="s">
        <v>90</v>
      </c>
      <c r="BL16" s="1" t="s">
        <v>90</v>
      </c>
      <c r="BM16" s="1" t="s">
        <v>90</v>
      </c>
      <c r="BN16" s="1" t="s">
        <v>90</v>
      </c>
      <c r="BO16" s="1" t="s">
        <v>90</v>
      </c>
      <c r="BP16" s="1" t="s">
        <v>90</v>
      </c>
      <c r="BQ16" s="1" t="s">
        <v>90</v>
      </c>
      <c r="BR16" s="1" t="s">
        <v>90</v>
      </c>
      <c r="BS16" s="1" t="s">
        <v>90</v>
      </c>
      <c r="BT16" s="1" t="s">
        <v>90</v>
      </c>
      <c r="BU16" s="1" t="s">
        <v>90</v>
      </c>
      <c r="BV16" s="1" t="s">
        <v>90</v>
      </c>
    </row>
    <row r="17" spans="1:74" x14ac:dyDescent="0.25">
      <c r="A17" s="1">
        <v>1019.8039027185569</v>
      </c>
      <c r="B17" s="1" t="e">
        <f>AVERAGEIF(SttcTable[Inter-Electrode Distance],$A17,SttcTable[STTC])</f>
        <v>#DIV/0!</v>
      </c>
      <c r="J17" s="6" t="s">
        <v>37</v>
      </c>
      <c r="K17" s="1" t="s">
        <v>90</v>
      </c>
      <c r="L17" s="1" t="s">
        <v>90</v>
      </c>
      <c r="M17" s="1" t="s">
        <v>90</v>
      </c>
      <c r="N17" s="1" t="s">
        <v>90</v>
      </c>
      <c r="O17" s="1" t="s">
        <v>90</v>
      </c>
      <c r="P17" s="1" t="s">
        <v>90</v>
      </c>
      <c r="Q17" s="1" t="s">
        <v>90</v>
      </c>
      <c r="R17" s="1" t="s">
        <v>90</v>
      </c>
      <c r="S17" s="1" t="s">
        <v>90</v>
      </c>
      <c r="T17" s="1" t="s">
        <v>90</v>
      </c>
      <c r="U17" s="1" t="s">
        <v>90</v>
      </c>
      <c r="V17" s="1">
        <v>1</v>
      </c>
      <c r="W17" s="1" t="s">
        <v>90</v>
      </c>
      <c r="X17" s="1" t="s">
        <v>90</v>
      </c>
      <c r="Y17" s="1" t="s">
        <v>90</v>
      </c>
      <c r="Z17" s="1" t="s">
        <v>90</v>
      </c>
      <c r="AA17" s="1" t="s">
        <v>90</v>
      </c>
      <c r="AB17" s="1" t="s">
        <v>90</v>
      </c>
      <c r="AC17" s="1" t="s">
        <v>90</v>
      </c>
      <c r="AD17" s="1" t="s">
        <v>90</v>
      </c>
      <c r="AE17" s="1" t="s">
        <v>90</v>
      </c>
      <c r="AF17" s="1" t="s">
        <v>90</v>
      </c>
      <c r="AG17" s="1" t="s">
        <v>90</v>
      </c>
      <c r="AH17" s="1" t="s">
        <v>90</v>
      </c>
      <c r="AI17" s="1" t="s">
        <v>90</v>
      </c>
      <c r="AJ17" s="1" t="s">
        <v>90</v>
      </c>
      <c r="AK17" s="1" t="s">
        <v>90</v>
      </c>
      <c r="AL17" s="1" t="s">
        <v>90</v>
      </c>
      <c r="AM17" s="1" t="s">
        <v>90</v>
      </c>
      <c r="AN17" s="1" t="s">
        <v>90</v>
      </c>
      <c r="AO17" s="1" t="s">
        <v>90</v>
      </c>
      <c r="AP17" s="1" t="s">
        <v>90</v>
      </c>
      <c r="AQ17" s="1" t="s">
        <v>90</v>
      </c>
      <c r="AR17" s="1" t="s">
        <v>90</v>
      </c>
      <c r="AS17" s="1" t="s">
        <v>90</v>
      </c>
      <c r="AT17" s="1" t="s">
        <v>90</v>
      </c>
      <c r="AU17" s="1" t="s">
        <v>90</v>
      </c>
      <c r="AV17" s="1" t="s">
        <v>90</v>
      </c>
      <c r="AW17" s="1" t="s">
        <v>90</v>
      </c>
      <c r="AX17" s="1" t="s">
        <v>90</v>
      </c>
      <c r="AY17" s="1" t="s">
        <v>90</v>
      </c>
      <c r="AZ17" s="1" t="s">
        <v>90</v>
      </c>
      <c r="BA17" s="1" t="s">
        <v>90</v>
      </c>
      <c r="BB17" s="1" t="s">
        <v>90</v>
      </c>
      <c r="BC17" s="1" t="s">
        <v>90</v>
      </c>
      <c r="BD17" s="1" t="s">
        <v>90</v>
      </c>
      <c r="BE17" s="1" t="s">
        <v>90</v>
      </c>
      <c r="BF17" s="1" t="s">
        <v>90</v>
      </c>
      <c r="BG17" s="1" t="s">
        <v>90</v>
      </c>
      <c r="BH17" s="1" t="s">
        <v>90</v>
      </c>
      <c r="BI17" s="1" t="s">
        <v>90</v>
      </c>
      <c r="BJ17" s="1" t="s">
        <v>90</v>
      </c>
      <c r="BK17" s="1" t="s">
        <v>90</v>
      </c>
      <c r="BL17" s="1" t="s">
        <v>90</v>
      </c>
      <c r="BM17" s="1" t="s">
        <v>90</v>
      </c>
      <c r="BN17" s="1" t="s">
        <v>90</v>
      </c>
      <c r="BO17" s="1" t="s">
        <v>90</v>
      </c>
      <c r="BP17" s="1" t="s">
        <v>90</v>
      </c>
      <c r="BQ17" s="1" t="s">
        <v>90</v>
      </c>
      <c r="BR17" s="1" t="s">
        <v>90</v>
      </c>
      <c r="BS17" s="1" t="s">
        <v>90</v>
      </c>
      <c r="BT17" s="1" t="s">
        <v>90</v>
      </c>
      <c r="BU17" s="1" t="s">
        <v>90</v>
      </c>
      <c r="BV17" s="1" t="s">
        <v>90</v>
      </c>
    </row>
    <row r="18" spans="1:74" x14ac:dyDescent="0.25">
      <c r="A18" s="1">
        <v>1216.552506059644</v>
      </c>
      <c r="B18" s="1" t="e">
        <f>AVERAGEIF(SttcTable[Inter-Electrode Distance],$A18,SttcTable[STTC])</f>
        <v>#DIV/0!</v>
      </c>
      <c r="J18" s="6" t="s">
        <v>38</v>
      </c>
      <c r="K18" s="1" t="s">
        <v>90</v>
      </c>
      <c r="L18" s="1" t="s">
        <v>90</v>
      </c>
      <c r="M18" s="1" t="s">
        <v>90</v>
      </c>
      <c r="N18" s="1" t="s">
        <v>90</v>
      </c>
      <c r="O18" s="1" t="s">
        <v>90</v>
      </c>
      <c r="P18" s="1" t="s">
        <v>90</v>
      </c>
      <c r="Q18" s="1" t="s">
        <v>90</v>
      </c>
      <c r="R18" s="1" t="s">
        <v>90</v>
      </c>
      <c r="S18" s="1" t="s">
        <v>90</v>
      </c>
      <c r="T18" s="1" t="s">
        <v>90</v>
      </c>
      <c r="U18" s="1" t="s">
        <v>90</v>
      </c>
      <c r="V18" s="1" t="s">
        <v>90</v>
      </c>
      <c r="W18" s="1">
        <v>1</v>
      </c>
      <c r="X18" s="1" t="s">
        <v>90</v>
      </c>
      <c r="Y18" s="1" t="s">
        <v>90</v>
      </c>
      <c r="Z18" s="1" t="s">
        <v>90</v>
      </c>
      <c r="AA18" s="1" t="s">
        <v>90</v>
      </c>
      <c r="AB18" s="1" t="s">
        <v>90</v>
      </c>
      <c r="AC18" s="1" t="s">
        <v>90</v>
      </c>
      <c r="AD18" s="1" t="s">
        <v>90</v>
      </c>
      <c r="AE18" s="1" t="s">
        <v>90</v>
      </c>
      <c r="AF18" s="1" t="s">
        <v>90</v>
      </c>
      <c r="AG18" s="1" t="s">
        <v>90</v>
      </c>
      <c r="AH18" s="1" t="s">
        <v>90</v>
      </c>
      <c r="AI18" s="1" t="s">
        <v>90</v>
      </c>
      <c r="AJ18" s="1" t="s">
        <v>90</v>
      </c>
      <c r="AK18" s="1" t="s">
        <v>90</v>
      </c>
      <c r="AL18" s="1" t="s">
        <v>90</v>
      </c>
      <c r="AM18" s="1" t="s">
        <v>90</v>
      </c>
      <c r="AN18" s="1" t="s">
        <v>90</v>
      </c>
      <c r="AO18" s="1" t="s">
        <v>90</v>
      </c>
      <c r="AP18" s="1" t="s">
        <v>90</v>
      </c>
      <c r="AQ18" s="1" t="s">
        <v>90</v>
      </c>
      <c r="AR18" s="1" t="s">
        <v>90</v>
      </c>
      <c r="AS18" s="1" t="s">
        <v>90</v>
      </c>
      <c r="AT18" s="1" t="s">
        <v>90</v>
      </c>
      <c r="AU18" s="1" t="s">
        <v>90</v>
      </c>
      <c r="AV18" s="1" t="s">
        <v>90</v>
      </c>
      <c r="AW18" s="1" t="s">
        <v>90</v>
      </c>
      <c r="AX18" s="1" t="s">
        <v>90</v>
      </c>
      <c r="AY18" s="1" t="s">
        <v>90</v>
      </c>
      <c r="AZ18" s="1" t="s">
        <v>90</v>
      </c>
      <c r="BA18" s="1" t="s">
        <v>90</v>
      </c>
      <c r="BB18" s="1" t="s">
        <v>90</v>
      </c>
      <c r="BC18" s="1" t="s">
        <v>90</v>
      </c>
      <c r="BD18" s="1" t="s">
        <v>90</v>
      </c>
      <c r="BE18" s="1" t="s">
        <v>90</v>
      </c>
      <c r="BF18" s="1" t="s">
        <v>90</v>
      </c>
      <c r="BG18" s="1" t="s">
        <v>90</v>
      </c>
      <c r="BH18" s="1" t="s">
        <v>90</v>
      </c>
      <c r="BI18" s="1" t="s">
        <v>90</v>
      </c>
      <c r="BJ18" s="1" t="s">
        <v>90</v>
      </c>
      <c r="BK18" s="1" t="s">
        <v>90</v>
      </c>
      <c r="BL18" s="1" t="s">
        <v>90</v>
      </c>
      <c r="BM18" s="1" t="s">
        <v>90</v>
      </c>
      <c r="BN18" s="1" t="s">
        <v>90</v>
      </c>
      <c r="BO18" s="1" t="s">
        <v>90</v>
      </c>
      <c r="BP18" s="1" t="s">
        <v>90</v>
      </c>
      <c r="BQ18" s="1" t="s">
        <v>90</v>
      </c>
      <c r="BR18" s="1" t="s">
        <v>90</v>
      </c>
      <c r="BS18" s="1" t="s">
        <v>90</v>
      </c>
      <c r="BT18" s="1" t="s">
        <v>90</v>
      </c>
      <c r="BU18" s="1" t="s">
        <v>90</v>
      </c>
      <c r="BV18" s="1" t="s">
        <v>90</v>
      </c>
    </row>
    <row r="19" spans="1:74" x14ac:dyDescent="0.25">
      <c r="A19" s="1">
        <v>1414.2135623730951</v>
      </c>
      <c r="B19" s="1" t="e">
        <f>AVERAGEIF(SttcTable[Inter-Electrode Distance],$A19,SttcTable[STTC])</f>
        <v>#DIV/0!</v>
      </c>
      <c r="J19" s="6" t="s">
        <v>39</v>
      </c>
      <c r="K19" s="1" t="s">
        <v>90</v>
      </c>
      <c r="L19" s="1" t="s">
        <v>90</v>
      </c>
      <c r="M19" s="1" t="s">
        <v>90</v>
      </c>
      <c r="N19" s="1" t="s">
        <v>90</v>
      </c>
      <c r="O19" s="1" t="s">
        <v>90</v>
      </c>
      <c r="P19" s="1" t="s">
        <v>90</v>
      </c>
      <c r="Q19" s="1" t="s">
        <v>90</v>
      </c>
      <c r="R19" s="1" t="s">
        <v>90</v>
      </c>
      <c r="S19" s="1" t="s">
        <v>90</v>
      </c>
      <c r="T19" s="1" t="s">
        <v>90</v>
      </c>
      <c r="U19" s="1" t="s">
        <v>90</v>
      </c>
      <c r="V19" s="1" t="s">
        <v>90</v>
      </c>
      <c r="W19" s="1" t="s">
        <v>90</v>
      </c>
      <c r="X19" s="1">
        <v>1</v>
      </c>
      <c r="Y19" s="1" t="s">
        <v>90</v>
      </c>
      <c r="Z19" s="1" t="s">
        <v>90</v>
      </c>
      <c r="AA19" s="1" t="s">
        <v>90</v>
      </c>
      <c r="AB19" s="1" t="s">
        <v>90</v>
      </c>
      <c r="AC19" s="1" t="s">
        <v>90</v>
      </c>
      <c r="AD19" s="1" t="s">
        <v>90</v>
      </c>
      <c r="AE19" s="1" t="s">
        <v>90</v>
      </c>
      <c r="AF19" s="1" t="s">
        <v>90</v>
      </c>
      <c r="AG19" s="1" t="s">
        <v>90</v>
      </c>
      <c r="AH19" s="1" t="s">
        <v>90</v>
      </c>
      <c r="AI19" s="1" t="s">
        <v>90</v>
      </c>
      <c r="AJ19" s="1" t="s">
        <v>90</v>
      </c>
      <c r="AK19" s="1" t="s">
        <v>90</v>
      </c>
      <c r="AL19" s="1" t="s">
        <v>90</v>
      </c>
      <c r="AM19" s="1" t="s">
        <v>90</v>
      </c>
      <c r="AN19" s="1" t="s">
        <v>90</v>
      </c>
      <c r="AO19" s="1" t="s">
        <v>90</v>
      </c>
      <c r="AP19" s="1" t="s">
        <v>90</v>
      </c>
      <c r="AQ19" s="1" t="s">
        <v>90</v>
      </c>
      <c r="AR19" s="1" t="s">
        <v>90</v>
      </c>
      <c r="AS19" s="1" t="s">
        <v>90</v>
      </c>
      <c r="AT19" s="1" t="s">
        <v>90</v>
      </c>
      <c r="AU19" s="1" t="s">
        <v>90</v>
      </c>
      <c r="AV19" s="1" t="s">
        <v>90</v>
      </c>
      <c r="AW19" s="1" t="s">
        <v>90</v>
      </c>
      <c r="AX19" s="1" t="s">
        <v>90</v>
      </c>
      <c r="AY19" s="1" t="s">
        <v>90</v>
      </c>
      <c r="AZ19" s="1" t="s">
        <v>90</v>
      </c>
      <c r="BA19" s="1" t="s">
        <v>90</v>
      </c>
      <c r="BB19" s="1" t="s">
        <v>90</v>
      </c>
      <c r="BC19" s="1" t="s">
        <v>90</v>
      </c>
      <c r="BD19" s="1" t="s">
        <v>90</v>
      </c>
      <c r="BE19" s="1" t="s">
        <v>90</v>
      </c>
      <c r="BF19" s="1" t="s">
        <v>90</v>
      </c>
      <c r="BG19" s="1" t="s">
        <v>90</v>
      </c>
      <c r="BH19" s="1" t="s">
        <v>90</v>
      </c>
      <c r="BI19" s="1" t="s">
        <v>90</v>
      </c>
      <c r="BJ19" s="1" t="s">
        <v>90</v>
      </c>
      <c r="BK19" s="1" t="s">
        <v>90</v>
      </c>
      <c r="BL19" s="1" t="s">
        <v>90</v>
      </c>
      <c r="BM19" s="1" t="s">
        <v>90</v>
      </c>
      <c r="BN19" s="1" t="s">
        <v>90</v>
      </c>
      <c r="BO19" s="1" t="s">
        <v>90</v>
      </c>
      <c r="BP19" s="1" t="s">
        <v>90</v>
      </c>
      <c r="BQ19" s="1" t="s">
        <v>90</v>
      </c>
      <c r="BR19" s="1" t="s">
        <v>90</v>
      </c>
      <c r="BS19" s="1" t="s">
        <v>90</v>
      </c>
      <c r="BT19" s="1" t="s">
        <v>90</v>
      </c>
      <c r="BU19" s="1" t="s">
        <v>90</v>
      </c>
      <c r="BV19" s="1" t="s">
        <v>90</v>
      </c>
    </row>
    <row r="20" spans="1:74" x14ac:dyDescent="0.25">
      <c r="A20" s="1">
        <v>565.68542494923804</v>
      </c>
      <c r="B20" s="1" t="e">
        <f>AVERAGEIF(SttcTable[Inter-Electrode Distance],$A20,SttcTable[STTC])</f>
        <v>#DIV/0!</v>
      </c>
      <c r="J20" s="6" t="s">
        <v>40</v>
      </c>
      <c r="K20" s="1" t="s">
        <v>90</v>
      </c>
      <c r="L20" s="1" t="s">
        <v>90</v>
      </c>
      <c r="M20" s="1" t="s">
        <v>90</v>
      </c>
      <c r="N20" s="1" t="s">
        <v>90</v>
      </c>
      <c r="O20" s="1" t="s">
        <v>90</v>
      </c>
      <c r="P20" s="1" t="s">
        <v>90</v>
      </c>
      <c r="Q20" s="1" t="s">
        <v>90</v>
      </c>
      <c r="R20" s="1" t="s">
        <v>90</v>
      </c>
      <c r="S20" s="1" t="s">
        <v>90</v>
      </c>
      <c r="T20" s="1" t="s">
        <v>90</v>
      </c>
      <c r="U20" s="1" t="s">
        <v>90</v>
      </c>
      <c r="V20" s="1" t="s">
        <v>90</v>
      </c>
      <c r="W20" s="1" t="s">
        <v>90</v>
      </c>
      <c r="X20" s="1" t="s">
        <v>90</v>
      </c>
      <c r="Y20" s="1">
        <v>1</v>
      </c>
      <c r="Z20" s="1" t="s">
        <v>90</v>
      </c>
      <c r="AA20" s="1" t="s">
        <v>90</v>
      </c>
      <c r="AB20" s="1" t="s">
        <v>90</v>
      </c>
      <c r="AC20" s="1" t="s">
        <v>90</v>
      </c>
      <c r="AD20" s="1" t="s">
        <v>90</v>
      </c>
      <c r="AE20" s="1" t="s">
        <v>90</v>
      </c>
      <c r="AF20" s="1" t="s">
        <v>90</v>
      </c>
      <c r="AG20" s="1" t="s">
        <v>90</v>
      </c>
      <c r="AH20" s="1" t="s">
        <v>90</v>
      </c>
      <c r="AI20" s="1" t="s">
        <v>90</v>
      </c>
      <c r="AJ20" s="1" t="s">
        <v>90</v>
      </c>
      <c r="AK20" s="1" t="s">
        <v>90</v>
      </c>
      <c r="AL20" s="1" t="s">
        <v>90</v>
      </c>
      <c r="AM20" s="1" t="s">
        <v>90</v>
      </c>
      <c r="AN20" s="1" t="s">
        <v>90</v>
      </c>
      <c r="AO20" s="1" t="s">
        <v>90</v>
      </c>
      <c r="AP20" s="1" t="s">
        <v>90</v>
      </c>
      <c r="AQ20" s="1" t="s">
        <v>90</v>
      </c>
      <c r="AR20" s="1" t="s">
        <v>90</v>
      </c>
      <c r="AS20" s="1" t="s">
        <v>90</v>
      </c>
      <c r="AT20" s="1" t="s">
        <v>90</v>
      </c>
      <c r="AU20" s="1" t="s">
        <v>90</v>
      </c>
      <c r="AV20" s="1" t="s">
        <v>90</v>
      </c>
      <c r="AW20" s="1" t="s">
        <v>90</v>
      </c>
      <c r="AX20" s="1" t="s">
        <v>90</v>
      </c>
      <c r="AY20" s="1" t="s">
        <v>90</v>
      </c>
      <c r="AZ20" s="1" t="s">
        <v>90</v>
      </c>
      <c r="BA20" s="1" t="s">
        <v>90</v>
      </c>
      <c r="BB20" s="1" t="s">
        <v>90</v>
      </c>
      <c r="BC20" s="1" t="s">
        <v>90</v>
      </c>
      <c r="BD20" s="1" t="s">
        <v>90</v>
      </c>
      <c r="BE20" s="1" t="s">
        <v>90</v>
      </c>
      <c r="BF20" s="1" t="s">
        <v>90</v>
      </c>
      <c r="BG20" s="1" t="s">
        <v>90</v>
      </c>
      <c r="BH20" s="1" t="s">
        <v>90</v>
      </c>
      <c r="BI20" s="1" t="s">
        <v>90</v>
      </c>
      <c r="BJ20" s="1" t="s">
        <v>90</v>
      </c>
      <c r="BK20" s="1" t="s">
        <v>90</v>
      </c>
      <c r="BL20" s="1" t="s">
        <v>90</v>
      </c>
      <c r="BM20" s="1" t="s">
        <v>90</v>
      </c>
      <c r="BN20" s="1" t="s">
        <v>90</v>
      </c>
      <c r="BO20" s="1" t="s">
        <v>90</v>
      </c>
      <c r="BP20" s="1" t="s">
        <v>90</v>
      </c>
      <c r="BQ20" s="1" t="s">
        <v>90</v>
      </c>
      <c r="BR20" s="1" t="s">
        <v>90</v>
      </c>
      <c r="BS20" s="1" t="s">
        <v>90</v>
      </c>
      <c r="BT20" s="1" t="s">
        <v>90</v>
      </c>
      <c r="BU20" s="1" t="s">
        <v>90</v>
      </c>
      <c r="BV20" s="1" t="s">
        <v>90</v>
      </c>
    </row>
    <row r="21" spans="1:74" x14ac:dyDescent="0.25">
      <c r="A21" s="1">
        <v>721.11025509279784</v>
      </c>
      <c r="B21" s="1" t="e">
        <f>AVERAGEIF(SttcTable[Inter-Electrode Distance],$A21,SttcTable[STTC])</f>
        <v>#DIV/0!</v>
      </c>
      <c r="J21" s="6" t="s">
        <v>41</v>
      </c>
      <c r="K21" s="1" t="s">
        <v>90</v>
      </c>
      <c r="L21" s="1" t="s">
        <v>90</v>
      </c>
      <c r="M21" s="1" t="s">
        <v>90</v>
      </c>
      <c r="N21" s="1" t="s">
        <v>90</v>
      </c>
      <c r="O21" s="1" t="s">
        <v>90</v>
      </c>
      <c r="P21" s="1" t="s">
        <v>90</v>
      </c>
      <c r="Q21" s="1" t="s">
        <v>90</v>
      </c>
      <c r="R21" s="1" t="s">
        <v>90</v>
      </c>
      <c r="S21" s="1" t="s">
        <v>90</v>
      </c>
      <c r="T21" s="1" t="s">
        <v>90</v>
      </c>
      <c r="U21" s="1" t="s">
        <v>90</v>
      </c>
      <c r="V21" s="1" t="s">
        <v>90</v>
      </c>
      <c r="W21" s="1" t="s">
        <v>90</v>
      </c>
      <c r="X21" s="1" t="s">
        <v>90</v>
      </c>
      <c r="Y21" s="1" t="s">
        <v>90</v>
      </c>
      <c r="Z21" s="1">
        <v>1</v>
      </c>
      <c r="AA21" s="1" t="s">
        <v>90</v>
      </c>
      <c r="AB21" s="1" t="s">
        <v>90</v>
      </c>
      <c r="AC21" s="1" t="s">
        <v>90</v>
      </c>
      <c r="AD21" s="1" t="s">
        <v>90</v>
      </c>
      <c r="AE21" s="1" t="s">
        <v>90</v>
      </c>
      <c r="AF21" s="1" t="s">
        <v>90</v>
      </c>
      <c r="AG21" s="1" t="s">
        <v>90</v>
      </c>
      <c r="AH21" s="1" t="s">
        <v>90</v>
      </c>
      <c r="AI21" s="1" t="s">
        <v>90</v>
      </c>
      <c r="AJ21" s="1" t="s">
        <v>90</v>
      </c>
      <c r="AK21" s="1" t="s">
        <v>90</v>
      </c>
      <c r="AL21" s="1" t="s">
        <v>90</v>
      </c>
      <c r="AM21" s="1" t="s">
        <v>90</v>
      </c>
      <c r="AN21" s="1" t="s">
        <v>90</v>
      </c>
      <c r="AO21" s="1" t="s">
        <v>90</v>
      </c>
      <c r="AP21" s="1" t="s">
        <v>90</v>
      </c>
      <c r="AQ21" s="1" t="s">
        <v>90</v>
      </c>
      <c r="AR21" s="1" t="s">
        <v>90</v>
      </c>
      <c r="AS21" s="1" t="s">
        <v>90</v>
      </c>
      <c r="AT21" s="1" t="s">
        <v>90</v>
      </c>
      <c r="AU21" s="1" t="s">
        <v>90</v>
      </c>
      <c r="AV21" s="1" t="s">
        <v>90</v>
      </c>
      <c r="AW21" s="1" t="s">
        <v>90</v>
      </c>
      <c r="AX21" s="1" t="s">
        <v>90</v>
      </c>
      <c r="AY21" s="1" t="s">
        <v>90</v>
      </c>
      <c r="AZ21" s="1" t="s">
        <v>90</v>
      </c>
      <c r="BA21" s="1" t="s">
        <v>90</v>
      </c>
      <c r="BB21" s="1" t="s">
        <v>90</v>
      </c>
      <c r="BC21" s="1" t="s">
        <v>90</v>
      </c>
      <c r="BD21" s="1" t="s">
        <v>90</v>
      </c>
      <c r="BE21" s="1" t="s">
        <v>90</v>
      </c>
      <c r="BF21" s="1" t="s">
        <v>90</v>
      </c>
      <c r="BG21" s="1" t="s">
        <v>90</v>
      </c>
      <c r="BH21" s="1" t="s">
        <v>90</v>
      </c>
      <c r="BI21" s="1" t="s">
        <v>90</v>
      </c>
      <c r="BJ21" s="1" t="s">
        <v>90</v>
      </c>
      <c r="BK21" s="1" t="s">
        <v>90</v>
      </c>
      <c r="BL21" s="1" t="s">
        <v>90</v>
      </c>
      <c r="BM21" s="1" t="s">
        <v>90</v>
      </c>
      <c r="BN21" s="1" t="s">
        <v>90</v>
      </c>
      <c r="BO21" s="1" t="s">
        <v>90</v>
      </c>
      <c r="BP21" s="1" t="s">
        <v>90</v>
      </c>
      <c r="BQ21" s="1" t="s">
        <v>90</v>
      </c>
      <c r="BR21" s="1" t="s">
        <v>90</v>
      </c>
      <c r="BS21" s="1" t="s">
        <v>90</v>
      </c>
      <c r="BT21" s="1" t="s">
        <v>90</v>
      </c>
      <c r="BU21" s="1" t="s">
        <v>90</v>
      </c>
      <c r="BV21" s="1" t="s">
        <v>90</v>
      </c>
    </row>
    <row r="22" spans="1:74" x14ac:dyDescent="0.25">
      <c r="A22" s="1">
        <v>894.42719099991587</v>
      </c>
      <c r="B22" s="1" t="e">
        <f>AVERAGEIF(SttcTable[Inter-Electrode Distance],$A22,SttcTable[STTC])</f>
        <v>#DIV/0!</v>
      </c>
      <c r="J22" s="6" t="s">
        <v>42</v>
      </c>
      <c r="K22" s="1" t="s">
        <v>90</v>
      </c>
      <c r="L22" s="1" t="s">
        <v>90</v>
      </c>
      <c r="M22" s="1" t="s">
        <v>90</v>
      </c>
      <c r="N22" s="1" t="s">
        <v>90</v>
      </c>
      <c r="O22" s="1" t="s">
        <v>90</v>
      </c>
      <c r="P22" s="1" t="s">
        <v>90</v>
      </c>
      <c r="Q22" s="1" t="s">
        <v>90</v>
      </c>
      <c r="R22" s="1" t="s">
        <v>90</v>
      </c>
      <c r="S22" s="1" t="s">
        <v>90</v>
      </c>
      <c r="T22" s="1" t="s">
        <v>90</v>
      </c>
      <c r="U22" s="1" t="s">
        <v>90</v>
      </c>
      <c r="V22" s="1" t="s">
        <v>90</v>
      </c>
      <c r="W22" s="1" t="s">
        <v>90</v>
      </c>
      <c r="X22" s="1" t="s">
        <v>90</v>
      </c>
      <c r="Y22" s="1" t="s">
        <v>90</v>
      </c>
      <c r="Z22" s="1" t="s">
        <v>90</v>
      </c>
      <c r="AA22" s="1">
        <v>1</v>
      </c>
      <c r="AB22" s="1" t="s">
        <v>90</v>
      </c>
      <c r="AC22" s="1" t="s">
        <v>90</v>
      </c>
      <c r="AD22" s="1" t="s">
        <v>90</v>
      </c>
      <c r="AE22" s="1" t="s">
        <v>90</v>
      </c>
      <c r="AF22" s="1" t="s">
        <v>90</v>
      </c>
      <c r="AG22" s="1" t="s">
        <v>90</v>
      </c>
      <c r="AH22" s="1" t="s">
        <v>90</v>
      </c>
      <c r="AI22" s="1" t="s">
        <v>90</v>
      </c>
      <c r="AJ22" s="1" t="s">
        <v>90</v>
      </c>
      <c r="AK22" s="1" t="s">
        <v>90</v>
      </c>
      <c r="AL22" s="1" t="s">
        <v>90</v>
      </c>
      <c r="AM22" s="1" t="s">
        <v>90</v>
      </c>
      <c r="AN22" s="1" t="s">
        <v>90</v>
      </c>
      <c r="AO22" s="1" t="s">
        <v>90</v>
      </c>
      <c r="AP22" s="1" t="s">
        <v>90</v>
      </c>
      <c r="AQ22" s="1" t="s">
        <v>90</v>
      </c>
      <c r="AR22" s="1" t="s">
        <v>90</v>
      </c>
      <c r="AS22" s="1" t="s">
        <v>90</v>
      </c>
      <c r="AT22" s="1" t="s">
        <v>90</v>
      </c>
      <c r="AU22" s="1" t="s">
        <v>90</v>
      </c>
      <c r="AV22" s="1" t="s">
        <v>90</v>
      </c>
      <c r="AW22" s="1" t="s">
        <v>90</v>
      </c>
      <c r="AX22" s="1" t="s">
        <v>90</v>
      </c>
      <c r="AY22" s="1" t="s">
        <v>90</v>
      </c>
      <c r="AZ22" s="1" t="s">
        <v>90</v>
      </c>
      <c r="BA22" s="1" t="s">
        <v>90</v>
      </c>
      <c r="BB22" s="1" t="s">
        <v>90</v>
      </c>
      <c r="BC22" s="1" t="s">
        <v>90</v>
      </c>
      <c r="BD22" s="1" t="s">
        <v>90</v>
      </c>
      <c r="BE22" s="1" t="s">
        <v>90</v>
      </c>
      <c r="BF22" s="1" t="s">
        <v>90</v>
      </c>
      <c r="BG22" s="1" t="s">
        <v>90</v>
      </c>
      <c r="BH22" s="1" t="s">
        <v>90</v>
      </c>
      <c r="BI22" s="1" t="s">
        <v>90</v>
      </c>
      <c r="BJ22" s="1" t="s">
        <v>90</v>
      </c>
      <c r="BK22" s="1" t="s">
        <v>90</v>
      </c>
      <c r="BL22" s="1" t="s">
        <v>90</v>
      </c>
      <c r="BM22" s="1" t="s">
        <v>90</v>
      </c>
      <c r="BN22" s="1" t="s">
        <v>90</v>
      </c>
      <c r="BO22" s="1" t="s">
        <v>90</v>
      </c>
      <c r="BP22" s="1" t="s">
        <v>90</v>
      </c>
      <c r="BQ22" s="1" t="s">
        <v>90</v>
      </c>
      <c r="BR22" s="1" t="s">
        <v>90</v>
      </c>
      <c r="BS22" s="1" t="s">
        <v>90</v>
      </c>
      <c r="BT22" s="1" t="s">
        <v>90</v>
      </c>
      <c r="BU22" s="1" t="s">
        <v>90</v>
      </c>
      <c r="BV22" s="1" t="s">
        <v>90</v>
      </c>
    </row>
    <row r="23" spans="1:74" x14ac:dyDescent="0.25">
      <c r="A23" s="1">
        <v>1077.0329614269008</v>
      </c>
      <c r="B23" s="1" t="e">
        <f>AVERAGEIF(SttcTable[Inter-Electrode Distance],$A23,SttcTable[STTC])</f>
        <v>#DIV/0!</v>
      </c>
      <c r="J23" s="6" t="s">
        <v>43</v>
      </c>
      <c r="K23" s="1" t="s">
        <v>90</v>
      </c>
      <c r="L23" s="1" t="s">
        <v>90</v>
      </c>
      <c r="M23" s="1" t="s">
        <v>90</v>
      </c>
      <c r="N23" s="1" t="s">
        <v>90</v>
      </c>
      <c r="O23" s="1" t="s">
        <v>90</v>
      </c>
      <c r="P23" s="1" t="s">
        <v>90</v>
      </c>
      <c r="Q23" s="1" t="s">
        <v>90</v>
      </c>
      <c r="R23" s="1" t="s">
        <v>90</v>
      </c>
      <c r="S23" s="1" t="s">
        <v>90</v>
      </c>
      <c r="T23" s="1" t="s">
        <v>90</v>
      </c>
      <c r="U23" s="1" t="s">
        <v>90</v>
      </c>
      <c r="V23" s="1" t="s">
        <v>90</v>
      </c>
      <c r="W23" s="1" t="s">
        <v>90</v>
      </c>
      <c r="X23" s="1" t="s">
        <v>90</v>
      </c>
      <c r="Y23" s="1" t="s">
        <v>90</v>
      </c>
      <c r="Z23" s="1" t="s">
        <v>90</v>
      </c>
      <c r="AA23" s="1" t="s">
        <v>90</v>
      </c>
      <c r="AB23" s="1">
        <v>1</v>
      </c>
      <c r="AC23" s="1" t="s">
        <v>90</v>
      </c>
      <c r="AD23" s="1" t="s">
        <v>90</v>
      </c>
      <c r="AE23" s="1" t="s">
        <v>90</v>
      </c>
      <c r="AF23" s="1" t="s">
        <v>90</v>
      </c>
      <c r="AG23" s="1" t="s">
        <v>90</v>
      </c>
      <c r="AH23" s="1" t="s">
        <v>90</v>
      </c>
      <c r="AI23" s="1" t="s">
        <v>90</v>
      </c>
      <c r="AJ23" s="1" t="s">
        <v>90</v>
      </c>
      <c r="AK23" s="1" t="s">
        <v>90</v>
      </c>
      <c r="AL23" s="1" t="s">
        <v>90</v>
      </c>
      <c r="AM23" s="1" t="s">
        <v>90</v>
      </c>
      <c r="AN23" s="1" t="s">
        <v>90</v>
      </c>
      <c r="AO23" s="1" t="s">
        <v>90</v>
      </c>
      <c r="AP23" s="1" t="s">
        <v>90</v>
      </c>
      <c r="AQ23" s="1" t="s">
        <v>90</v>
      </c>
      <c r="AR23" s="1" t="s">
        <v>90</v>
      </c>
      <c r="AS23" s="1" t="s">
        <v>90</v>
      </c>
      <c r="AT23" s="1" t="s">
        <v>90</v>
      </c>
      <c r="AU23" s="1" t="s">
        <v>90</v>
      </c>
      <c r="AV23" s="1" t="s">
        <v>90</v>
      </c>
      <c r="AW23" s="1" t="s">
        <v>90</v>
      </c>
      <c r="AX23" s="1" t="s">
        <v>90</v>
      </c>
      <c r="AY23" s="1" t="s">
        <v>90</v>
      </c>
      <c r="AZ23" s="1" t="s">
        <v>90</v>
      </c>
      <c r="BA23" s="1" t="s">
        <v>90</v>
      </c>
      <c r="BB23" s="1" t="s">
        <v>90</v>
      </c>
      <c r="BC23" s="1" t="s">
        <v>90</v>
      </c>
      <c r="BD23" s="1" t="s">
        <v>90</v>
      </c>
      <c r="BE23" s="1" t="s">
        <v>90</v>
      </c>
      <c r="BF23" s="1" t="s">
        <v>90</v>
      </c>
      <c r="BG23" s="1" t="s">
        <v>90</v>
      </c>
      <c r="BH23" s="1" t="s">
        <v>90</v>
      </c>
      <c r="BI23" s="1" t="s">
        <v>90</v>
      </c>
      <c r="BJ23" s="1" t="s">
        <v>90</v>
      </c>
      <c r="BK23" s="1" t="s">
        <v>90</v>
      </c>
      <c r="BL23" s="1" t="s">
        <v>90</v>
      </c>
      <c r="BM23" s="1" t="s">
        <v>90</v>
      </c>
      <c r="BN23" s="1" t="s">
        <v>90</v>
      </c>
      <c r="BO23" s="1" t="s">
        <v>90</v>
      </c>
      <c r="BP23" s="1" t="s">
        <v>90</v>
      </c>
      <c r="BQ23" s="1" t="s">
        <v>90</v>
      </c>
      <c r="BR23" s="1" t="s">
        <v>90</v>
      </c>
      <c r="BS23" s="1" t="s">
        <v>90</v>
      </c>
      <c r="BT23" s="1" t="s">
        <v>90</v>
      </c>
      <c r="BU23" s="1" t="s">
        <v>90</v>
      </c>
      <c r="BV23" s="1" t="s">
        <v>90</v>
      </c>
    </row>
    <row r="24" spans="1:74" x14ac:dyDescent="0.25">
      <c r="A24" s="1">
        <v>1264.9110640673518</v>
      </c>
      <c r="B24" s="1" t="e">
        <f>AVERAGEIF(SttcTable[Inter-Electrode Distance],$A24,SttcTable[STTC])</f>
        <v>#DIV/0!</v>
      </c>
      <c r="J24" s="6" t="s">
        <v>44</v>
      </c>
      <c r="K24" s="1" t="s">
        <v>90</v>
      </c>
      <c r="L24" s="1" t="s">
        <v>90</v>
      </c>
      <c r="M24" s="1" t="s">
        <v>90</v>
      </c>
      <c r="N24" s="1" t="s">
        <v>90</v>
      </c>
      <c r="O24" s="1" t="s">
        <v>90</v>
      </c>
      <c r="P24" s="1" t="s">
        <v>90</v>
      </c>
      <c r="Q24" s="1" t="s">
        <v>90</v>
      </c>
      <c r="R24" s="1" t="s">
        <v>90</v>
      </c>
      <c r="S24" s="1" t="s">
        <v>90</v>
      </c>
      <c r="T24" s="1" t="s">
        <v>90</v>
      </c>
      <c r="U24" s="1" t="s">
        <v>90</v>
      </c>
      <c r="V24" s="1" t="s">
        <v>90</v>
      </c>
      <c r="W24" s="1" t="s">
        <v>90</v>
      </c>
      <c r="X24" s="1" t="s">
        <v>90</v>
      </c>
      <c r="Y24" s="1" t="s">
        <v>90</v>
      </c>
      <c r="Z24" s="1" t="s">
        <v>90</v>
      </c>
      <c r="AA24" s="1" t="s">
        <v>90</v>
      </c>
      <c r="AB24" s="1" t="s">
        <v>90</v>
      </c>
      <c r="AC24" s="1">
        <v>1</v>
      </c>
      <c r="AD24" s="1" t="s">
        <v>90</v>
      </c>
      <c r="AE24" s="1" t="s">
        <v>90</v>
      </c>
      <c r="AF24" s="1" t="s">
        <v>90</v>
      </c>
      <c r="AG24" s="1" t="s">
        <v>90</v>
      </c>
      <c r="AH24" s="1" t="s">
        <v>90</v>
      </c>
      <c r="AI24" s="1" t="s">
        <v>90</v>
      </c>
      <c r="AJ24" s="1" t="s">
        <v>90</v>
      </c>
      <c r="AK24" s="1" t="s">
        <v>90</v>
      </c>
      <c r="AL24" s="1" t="s">
        <v>90</v>
      </c>
      <c r="AM24" s="1" t="s">
        <v>90</v>
      </c>
      <c r="AN24" s="1" t="s">
        <v>90</v>
      </c>
      <c r="AO24" s="1" t="s">
        <v>90</v>
      </c>
      <c r="AP24" s="1" t="s">
        <v>90</v>
      </c>
      <c r="AQ24" s="1" t="s">
        <v>90</v>
      </c>
      <c r="AR24" s="1" t="s">
        <v>90</v>
      </c>
      <c r="AS24" s="1" t="s">
        <v>90</v>
      </c>
      <c r="AT24" s="1" t="s">
        <v>90</v>
      </c>
      <c r="AU24" s="1" t="s">
        <v>90</v>
      </c>
      <c r="AV24" s="1" t="s">
        <v>90</v>
      </c>
      <c r="AW24" s="1" t="s">
        <v>90</v>
      </c>
      <c r="AX24" s="1" t="s">
        <v>90</v>
      </c>
      <c r="AY24" s="1" t="s">
        <v>90</v>
      </c>
      <c r="AZ24" s="1" t="s">
        <v>90</v>
      </c>
      <c r="BA24" s="1" t="s">
        <v>90</v>
      </c>
      <c r="BB24" s="1" t="s">
        <v>90</v>
      </c>
      <c r="BC24" s="1" t="s">
        <v>90</v>
      </c>
      <c r="BD24" s="1" t="s">
        <v>90</v>
      </c>
      <c r="BE24" s="1" t="s">
        <v>90</v>
      </c>
      <c r="BF24" s="1" t="s">
        <v>90</v>
      </c>
      <c r="BG24" s="1" t="s">
        <v>90</v>
      </c>
      <c r="BH24" s="1" t="s">
        <v>90</v>
      </c>
      <c r="BI24" s="1" t="s">
        <v>90</v>
      </c>
      <c r="BJ24" s="1" t="s">
        <v>90</v>
      </c>
      <c r="BK24" s="1" t="s">
        <v>90</v>
      </c>
      <c r="BL24" s="1" t="s">
        <v>90</v>
      </c>
      <c r="BM24" s="1" t="s">
        <v>90</v>
      </c>
      <c r="BN24" s="1" t="s">
        <v>90</v>
      </c>
      <c r="BO24" s="1" t="s">
        <v>90</v>
      </c>
      <c r="BP24" s="1" t="s">
        <v>90</v>
      </c>
      <c r="BQ24" s="1" t="s">
        <v>90</v>
      </c>
      <c r="BR24" s="1" t="s">
        <v>90</v>
      </c>
      <c r="BS24" s="1" t="s">
        <v>90</v>
      </c>
      <c r="BT24" s="1" t="s">
        <v>90</v>
      </c>
      <c r="BU24" s="1" t="s">
        <v>90</v>
      </c>
      <c r="BV24" s="1" t="s">
        <v>90</v>
      </c>
    </row>
    <row r="25" spans="1:74" x14ac:dyDescent="0.25">
      <c r="A25" s="1">
        <v>1456.0219778561036</v>
      </c>
      <c r="B25" s="1" t="e">
        <f>AVERAGEIF(SttcTable[Inter-Electrode Distance],$A25,SttcTable[STTC])</f>
        <v>#DIV/0!</v>
      </c>
      <c r="J25" s="6" t="s">
        <v>45</v>
      </c>
      <c r="K25" s="1" t="s">
        <v>90</v>
      </c>
      <c r="L25" s="1" t="s">
        <v>90</v>
      </c>
      <c r="M25" s="1" t="s">
        <v>90</v>
      </c>
      <c r="N25" s="1" t="s">
        <v>90</v>
      </c>
      <c r="O25" s="1" t="s">
        <v>90</v>
      </c>
      <c r="P25" s="1" t="s">
        <v>90</v>
      </c>
      <c r="Q25" s="1" t="s">
        <v>90</v>
      </c>
      <c r="R25" s="1" t="s">
        <v>90</v>
      </c>
      <c r="S25" s="1" t="s">
        <v>90</v>
      </c>
      <c r="T25" s="1" t="s">
        <v>90</v>
      </c>
      <c r="U25" s="1" t="s">
        <v>90</v>
      </c>
      <c r="V25" s="1" t="s">
        <v>90</v>
      </c>
      <c r="W25" s="1" t="s">
        <v>90</v>
      </c>
      <c r="X25" s="1" t="s">
        <v>90</v>
      </c>
      <c r="Y25" s="1" t="s">
        <v>90</v>
      </c>
      <c r="Z25" s="1" t="s">
        <v>90</v>
      </c>
      <c r="AA25" s="1" t="s">
        <v>90</v>
      </c>
      <c r="AB25" s="1" t="s">
        <v>90</v>
      </c>
      <c r="AC25" s="1" t="s">
        <v>90</v>
      </c>
      <c r="AD25" s="1">
        <v>1</v>
      </c>
      <c r="AE25" s="1" t="s">
        <v>90</v>
      </c>
      <c r="AF25" s="1" t="s">
        <v>90</v>
      </c>
      <c r="AG25" s="1" t="s">
        <v>90</v>
      </c>
      <c r="AH25" s="1" t="s">
        <v>90</v>
      </c>
      <c r="AI25" s="1" t="s">
        <v>90</v>
      </c>
      <c r="AJ25" s="1" t="s">
        <v>90</v>
      </c>
      <c r="AK25" s="1" t="s">
        <v>90</v>
      </c>
      <c r="AL25" s="1" t="s">
        <v>90</v>
      </c>
      <c r="AM25" s="1" t="s">
        <v>90</v>
      </c>
      <c r="AN25" s="1" t="s">
        <v>90</v>
      </c>
      <c r="AO25" s="1" t="s">
        <v>90</v>
      </c>
      <c r="AP25" s="1" t="s">
        <v>90</v>
      </c>
      <c r="AQ25" s="1" t="s">
        <v>90</v>
      </c>
      <c r="AR25" s="1" t="s">
        <v>90</v>
      </c>
      <c r="AS25" s="1" t="s">
        <v>90</v>
      </c>
      <c r="AT25" s="1" t="s">
        <v>90</v>
      </c>
      <c r="AU25" s="1" t="s">
        <v>90</v>
      </c>
      <c r="AV25" s="1" t="s">
        <v>90</v>
      </c>
      <c r="AW25" s="1" t="s">
        <v>90</v>
      </c>
      <c r="AX25" s="1" t="s">
        <v>90</v>
      </c>
      <c r="AY25" s="1" t="s">
        <v>90</v>
      </c>
      <c r="AZ25" s="1" t="s">
        <v>90</v>
      </c>
      <c r="BA25" s="1" t="s">
        <v>90</v>
      </c>
      <c r="BB25" s="1" t="s">
        <v>90</v>
      </c>
      <c r="BC25" s="1" t="s">
        <v>90</v>
      </c>
      <c r="BD25" s="1" t="s">
        <v>90</v>
      </c>
      <c r="BE25" s="1" t="s">
        <v>90</v>
      </c>
      <c r="BF25" s="1" t="s">
        <v>90</v>
      </c>
      <c r="BG25" s="1" t="s">
        <v>90</v>
      </c>
      <c r="BH25" s="1" t="s">
        <v>90</v>
      </c>
      <c r="BI25" s="1" t="s">
        <v>90</v>
      </c>
      <c r="BJ25" s="1" t="s">
        <v>90</v>
      </c>
      <c r="BK25" s="1" t="s">
        <v>90</v>
      </c>
      <c r="BL25" s="1" t="s">
        <v>90</v>
      </c>
      <c r="BM25" s="1" t="s">
        <v>90</v>
      </c>
      <c r="BN25" s="1" t="s">
        <v>90</v>
      </c>
      <c r="BO25" s="1" t="s">
        <v>90</v>
      </c>
      <c r="BP25" s="1" t="s">
        <v>90</v>
      </c>
      <c r="BQ25" s="1" t="s">
        <v>90</v>
      </c>
      <c r="BR25" s="1" t="s">
        <v>90</v>
      </c>
      <c r="BS25" s="1" t="s">
        <v>90</v>
      </c>
      <c r="BT25" s="1" t="s">
        <v>90</v>
      </c>
      <c r="BU25" s="1" t="s">
        <v>90</v>
      </c>
      <c r="BV25" s="1" t="s">
        <v>90</v>
      </c>
    </row>
    <row r="26" spans="1:74" x14ac:dyDescent="0.25">
      <c r="A26" s="1">
        <v>848.52813742385695</v>
      </c>
      <c r="B26" s="1" t="e">
        <f>AVERAGEIF(SttcTable[Inter-Electrode Distance],$A26,SttcTable[STTC])</f>
        <v>#DIV/0!</v>
      </c>
      <c r="J26" s="6" t="s">
        <v>46</v>
      </c>
      <c r="K26" s="1" t="s">
        <v>90</v>
      </c>
      <c r="L26" s="1" t="s">
        <v>90</v>
      </c>
      <c r="M26" s="1" t="s">
        <v>90</v>
      </c>
      <c r="N26" s="1" t="s">
        <v>90</v>
      </c>
      <c r="O26" s="1" t="s">
        <v>90</v>
      </c>
      <c r="P26" s="1" t="s">
        <v>90</v>
      </c>
      <c r="Q26" s="1" t="s">
        <v>90</v>
      </c>
      <c r="R26" s="1" t="s">
        <v>90</v>
      </c>
      <c r="S26" s="1" t="s">
        <v>90</v>
      </c>
      <c r="T26" s="1" t="s">
        <v>90</v>
      </c>
      <c r="U26" s="1" t="s">
        <v>90</v>
      </c>
      <c r="V26" s="1" t="s">
        <v>90</v>
      </c>
      <c r="W26" s="1" t="s">
        <v>90</v>
      </c>
      <c r="X26" s="1" t="s">
        <v>90</v>
      </c>
      <c r="Y26" s="1" t="s">
        <v>90</v>
      </c>
      <c r="Z26" s="1" t="s">
        <v>90</v>
      </c>
      <c r="AA26" s="1" t="s">
        <v>90</v>
      </c>
      <c r="AB26" s="1" t="s">
        <v>90</v>
      </c>
      <c r="AC26" s="1" t="s">
        <v>90</v>
      </c>
      <c r="AD26" s="1" t="s">
        <v>90</v>
      </c>
      <c r="AE26" s="1">
        <v>1</v>
      </c>
      <c r="AF26" s="1" t="s">
        <v>90</v>
      </c>
      <c r="AG26" s="1" t="s">
        <v>90</v>
      </c>
      <c r="AH26" s="1" t="s">
        <v>90</v>
      </c>
      <c r="AI26" s="1" t="s">
        <v>90</v>
      </c>
      <c r="AJ26" s="1" t="s">
        <v>90</v>
      </c>
      <c r="AK26" s="1" t="s">
        <v>90</v>
      </c>
      <c r="AL26" s="1" t="s">
        <v>90</v>
      </c>
      <c r="AM26" s="1" t="s">
        <v>90</v>
      </c>
      <c r="AN26" s="1" t="s">
        <v>90</v>
      </c>
      <c r="AO26" s="1" t="s">
        <v>90</v>
      </c>
      <c r="AP26" s="1" t="s">
        <v>90</v>
      </c>
      <c r="AQ26" s="1" t="s">
        <v>90</v>
      </c>
      <c r="AR26" s="1" t="s">
        <v>90</v>
      </c>
      <c r="AS26" s="1" t="s">
        <v>90</v>
      </c>
      <c r="AT26" s="1" t="s">
        <v>90</v>
      </c>
      <c r="AU26" s="1" t="s">
        <v>90</v>
      </c>
      <c r="AV26" s="1" t="s">
        <v>90</v>
      </c>
      <c r="AW26" s="1" t="s">
        <v>90</v>
      </c>
      <c r="AX26" s="1" t="s">
        <v>90</v>
      </c>
      <c r="AY26" s="1" t="s">
        <v>90</v>
      </c>
      <c r="AZ26" s="1" t="s">
        <v>90</v>
      </c>
      <c r="BA26" s="1" t="s">
        <v>90</v>
      </c>
      <c r="BB26" s="1" t="s">
        <v>90</v>
      </c>
      <c r="BC26" s="1" t="s">
        <v>90</v>
      </c>
      <c r="BD26" s="1" t="s">
        <v>90</v>
      </c>
      <c r="BE26" s="1" t="s">
        <v>90</v>
      </c>
      <c r="BF26" s="1" t="s">
        <v>90</v>
      </c>
      <c r="BG26" s="1" t="s">
        <v>90</v>
      </c>
      <c r="BH26" s="1" t="s">
        <v>90</v>
      </c>
      <c r="BI26" s="1" t="s">
        <v>90</v>
      </c>
      <c r="BJ26" s="1" t="s">
        <v>90</v>
      </c>
      <c r="BK26" s="1" t="s">
        <v>90</v>
      </c>
      <c r="BL26" s="1" t="s">
        <v>90</v>
      </c>
      <c r="BM26" s="1" t="s">
        <v>90</v>
      </c>
      <c r="BN26" s="1" t="s">
        <v>90</v>
      </c>
      <c r="BO26" s="1" t="s">
        <v>90</v>
      </c>
      <c r="BP26" s="1" t="s">
        <v>90</v>
      </c>
      <c r="BQ26" s="1" t="s">
        <v>90</v>
      </c>
      <c r="BR26" s="1" t="s">
        <v>90</v>
      </c>
      <c r="BS26" s="1" t="s">
        <v>90</v>
      </c>
      <c r="BT26" s="1" t="s">
        <v>90</v>
      </c>
      <c r="BU26" s="1" t="s">
        <v>90</v>
      </c>
      <c r="BV26" s="1" t="s">
        <v>90</v>
      </c>
    </row>
    <row r="27" spans="1:74" x14ac:dyDescent="0.25">
      <c r="A27" s="1">
        <v>1166.1903789690602</v>
      </c>
      <c r="B27" s="1" t="e">
        <f>AVERAGEIF(SttcTable[Inter-Electrode Distance],$A27,SttcTable[STTC])</f>
        <v>#DIV/0!</v>
      </c>
      <c r="J27" s="6" t="s">
        <v>47</v>
      </c>
      <c r="K27" s="1" t="s">
        <v>90</v>
      </c>
      <c r="L27" s="1" t="s">
        <v>90</v>
      </c>
      <c r="M27" s="1" t="s">
        <v>90</v>
      </c>
      <c r="N27" s="1" t="s">
        <v>90</v>
      </c>
      <c r="O27" s="1" t="s">
        <v>90</v>
      </c>
      <c r="P27" s="1" t="s">
        <v>90</v>
      </c>
      <c r="Q27" s="1" t="s">
        <v>90</v>
      </c>
      <c r="R27" s="1" t="s">
        <v>90</v>
      </c>
      <c r="S27" s="1" t="s">
        <v>90</v>
      </c>
      <c r="T27" s="1" t="s">
        <v>90</v>
      </c>
      <c r="U27" s="1" t="s">
        <v>90</v>
      </c>
      <c r="V27" s="1" t="s">
        <v>90</v>
      </c>
      <c r="W27" s="1" t="s">
        <v>90</v>
      </c>
      <c r="X27" s="1" t="s">
        <v>90</v>
      </c>
      <c r="Y27" s="1" t="s">
        <v>90</v>
      </c>
      <c r="Z27" s="1" t="s">
        <v>90</v>
      </c>
      <c r="AA27" s="1" t="s">
        <v>90</v>
      </c>
      <c r="AB27" s="1" t="s">
        <v>90</v>
      </c>
      <c r="AC27" s="1" t="s">
        <v>90</v>
      </c>
      <c r="AD27" s="1" t="s">
        <v>90</v>
      </c>
      <c r="AE27" s="1" t="s">
        <v>90</v>
      </c>
      <c r="AF27" s="1">
        <v>1</v>
      </c>
      <c r="AG27" s="1" t="s">
        <v>90</v>
      </c>
      <c r="AH27" s="1" t="s">
        <v>90</v>
      </c>
      <c r="AI27" s="1" t="s">
        <v>90</v>
      </c>
      <c r="AJ27" s="1" t="s">
        <v>90</v>
      </c>
      <c r="AK27" s="1" t="s">
        <v>90</v>
      </c>
      <c r="AL27" s="1" t="s">
        <v>90</v>
      </c>
      <c r="AM27" s="1" t="s">
        <v>90</v>
      </c>
      <c r="AN27" s="1" t="s">
        <v>90</v>
      </c>
      <c r="AO27" s="1" t="s">
        <v>90</v>
      </c>
      <c r="AP27" s="1" t="s">
        <v>90</v>
      </c>
      <c r="AQ27" s="1" t="s">
        <v>90</v>
      </c>
      <c r="AR27" s="1" t="s">
        <v>90</v>
      </c>
      <c r="AS27" s="1" t="s">
        <v>90</v>
      </c>
      <c r="AT27" s="1" t="s">
        <v>90</v>
      </c>
      <c r="AU27" s="1" t="s">
        <v>90</v>
      </c>
      <c r="AV27" s="1" t="s">
        <v>90</v>
      </c>
      <c r="AW27" s="1" t="s">
        <v>90</v>
      </c>
      <c r="AX27" s="1" t="s">
        <v>90</v>
      </c>
      <c r="AY27" s="1" t="s">
        <v>90</v>
      </c>
      <c r="AZ27" s="1" t="s">
        <v>90</v>
      </c>
      <c r="BA27" s="1" t="s">
        <v>90</v>
      </c>
      <c r="BB27" s="1" t="s">
        <v>90</v>
      </c>
      <c r="BC27" s="1" t="s">
        <v>90</v>
      </c>
      <c r="BD27" s="1" t="s">
        <v>90</v>
      </c>
      <c r="BE27" s="1" t="s">
        <v>90</v>
      </c>
      <c r="BF27" s="1" t="s">
        <v>90</v>
      </c>
      <c r="BG27" s="1" t="s">
        <v>90</v>
      </c>
      <c r="BH27" s="1" t="s">
        <v>90</v>
      </c>
      <c r="BI27" s="1" t="s">
        <v>90</v>
      </c>
      <c r="BJ27" s="1" t="s">
        <v>90</v>
      </c>
      <c r="BK27" s="1" t="s">
        <v>90</v>
      </c>
      <c r="BL27" s="1" t="s">
        <v>90</v>
      </c>
      <c r="BM27" s="1" t="s">
        <v>90</v>
      </c>
      <c r="BN27" s="1" t="s">
        <v>90</v>
      </c>
      <c r="BO27" s="1" t="s">
        <v>90</v>
      </c>
      <c r="BP27" s="1" t="s">
        <v>90</v>
      </c>
      <c r="BQ27" s="1" t="s">
        <v>90</v>
      </c>
      <c r="BR27" s="1" t="s">
        <v>90</v>
      </c>
      <c r="BS27" s="1" t="s">
        <v>90</v>
      </c>
      <c r="BT27" s="1" t="s">
        <v>90</v>
      </c>
      <c r="BU27" s="1" t="s">
        <v>90</v>
      </c>
      <c r="BV27" s="1" t="s">
        <v>90</v>
      </c>
    </row>
    <row r="28" spans="1:74" x14ac:dyDescent="0.25">
      <c r="A28" s="1">
        <v>1341.6407864998739</v>
      </c>
      <c r="B28" s="1" t="e">
        <f>AVERAGEIF(SttcTable[Inter-Electrode Distance],$A28,SttcTable[STTC])</f>
        <v>#DIV/0!</v>
      </c>
      <c r="J28" s="6" t="s">
        <v>48</v>
      </c>
      <c r="K28" s="1" t="s">
        <v>90</v>
      </c>
      <c r="L28" s="1" t="s">
        <v>90</v>
      </c>
      <c r="M28" s="1" t="s">
        <v>90</v>
      </c>
      <c r="N28" s="1" t="s">
        <v>90</v>
      </c>
      <c r="O28" s="1" t="s">
        <v>90</v>
      </c>
      <c r="P28" s="1" t="s">
        <v>90</v>
      </c>
      <c r="Q28" s="1" t="s">
        <v>90</v>
      </c>
      <c r="R28" s="1" t="s">
        <v>90</v>
      </c>
      <c r="S28" s="1" t="s">
        <v>90</v>
      </c>
      <c r="T28" s="1" t="s">
        <v>90</v>
      </c>
      <c r="U28" s="1" t="s">
        <v>90</v>
      </c>
      <c r="V28" s="1" t="s">
        <v>90</v>
      </c>
      <c r="W28" s="1" t="s">
        <v>90</v>
      </c>
      <c r="X28" s="1" t="s">
        <v>90</v>
      </c>
      <c r="Y28" s="1" t="s">
        <v>90</v>
      </c>
      <c r="Z28" s="1" t="s">
        <v>90</v>
      </c>
      <c r="AA28" s="1" t="s">
        <v>90</v>
      </c>
      <c r="AB28" s="1" t="s">
        <v>90</v>
      </c>
      <c r="AC28" s="1" t="s">
        <v>90</v>
      </c>
      <c r="AD28" s="1" t="s">
        <v>90</v>
      </c>
      <c r="AE28" s="1" t="s">
        <v>90</v>
      </c>
      <c r="AF28" s="1" t="s">
        <v>90</v>
      </c>
      <c r="AG28" s="1">
        <v>1</v>
      </c>
      <c r="AH28" s="1" t="s">
        <v>90</v>
      </c>
      <c r="AI28" s="1" t="s">
        <v>90</v>
      </c>
      <c r="AJ28" s="1" t="s">
        <v>90</v>
      </c>
      <c r="AK28" s="1" t="s">
        <v>90</v>
      </c>
      <c r="AL28" s="1" t="s">
        <v>90</v>
      </c>
      <c r="AM28" s="1" t="s">
        <v>90</v>
      </c>
      <c r="AN28" s="1" t="s">
        <v>90</v>
      </c>
      <c r="AO28" s="1" t="s">
        <v>90</v>
      </c>
      <c r="AP28" s="1" t="s">
        <v>90</v>
      </c>
      <c r="AQ28" s="1" t="s">
        <v>90</v>
      </c>
      <c r="AR28" s="1" t="s">
        <v>90</v>
      </c>
      <c r="AS28" s="1" t="s">
        <v>90</v>
      </c>
      <c r="AT28" s="1" t="s">
        <v>90</v>
      </c>
      <c r="AU28" s="1" t="s">
        <v>90</v>
      </c>
      <c r="AV28" s="1" t="s">
        <v>90</v>
      </c>
      <c r="AW28" s="1" t="s">
        <v>90</v>
      </c>
      <c r="AX28" s="1" t="s">
        <v>90</v>
      </c>
      <c r="AY28" s="1" t="s">
        <v>90</v>
      </c>
      <c r="AZ28" s="1" t="s">
        <v>90</v>
      </c>
      <c r="BA28" s="1" t="s">
        <v>90</v>
      </c>
      <c r="BB28" s="1" t="s">
        <v>90</v>
      </c>
      <c r="BC28" s="1" t="s">
        <v>90</v>
      </c>
      <c r="BD28" s="1" t="s">
        <v>90</v>
      </c>
      <c r="BE28" s="1" t="s">
        <v>90</v>
      </c>
      <c r="BF28" s="1" t="s">
        <v>90</v>
      </c>
      <c r="BG28" s="1" t="s">
        <v>90</v>
      </c>
      <c r="BH28" s="1" t="s">
        <v>90</v>
      </c>
      <c r="BI28" s="1" t="s">
        <v>90</v>
      </c>
      <c r="BJ28" s="1" t="s">
        <v>90</v>
      </c>
      <c r="BK28" s="1" t="s">
        <v>90</v>
      </c>
      <c r="BL28" s="1" t="s">
        <v>90</v>
      </c>
      <c r="BM28" s="1" t="s">
        <v>90</v>
      </c>
      <c r="BN28" s="1" t="s">
        <v>90</v>
      </c>
      <c r="BO28" s="1" t="s">
        <v>90</v>
      </c>
      <c r="BP28" s="1" t="s">
        <v>90</v>
      </c>
      <c r="BQ28" s="1" t="s">
        <v>90</v>
      </c>
      <c r="BR28" s="1" t="s">
        <v>90</v>
      </c>
      <c r="BS28" s="1" t="s">
        <v>90</v>
      </c>
      <c r="BT28" s="1" t="s">
        <v>90</v>
      </c>
      <c r="BU28" s="1" t="s">
        <v>90</v>
      </c>
      <c r="BV28" s="1" t="s">
        <v>90</v>
      </c>
    </row>
    <row r="29" spans="1:74" x14ac:dyDescent="0.25">
      <c r="A29" s="1">
        <v>1523.1546211727818</v>
      </c>
      <c r="B29" s="1" t="e">
        <f>AVERAGEIF(SttcTable[Inter-Electrode Distance],$A29,SttcTable[STTC])</f>
        <v>#DIV/0!</v>
      </c>
      <c r="J29" s="6" t="s">
        <v>49</v>
      </c>
      <c r="K29" s="1" t="s">
        <v>90</v>
      </c>
      <c r="L29" s="1" t="s">
        <v>90</v>
      </c>
      <c r="M29" s="1" t="s">
        <v>90</v>
      </c>
      <c r="N29" s="1" t="s">
        <v>90</v>
      </c>
      <c r="O29" s="1" t="s">
        <v>90</v>
      </c>
      <c r="P29" s="1" t="s">
        <v>90</v>
      </c>
      <c r="Q29" s="1" t="s">
        <v>90</v>
      </c>
      <c r="R29" s="1" t="s">
        <v>90</v>
      </c>
      <c r="S29" s="1" t="s">
        <v>90</v>
      </c>
      <c r="T29" s="1" t="s">
        <v>90</v>
      </c>
      <c r="U29" s="1" t="s">
        <v>90</v>
      </c>
      <c r="V29" s="1" t="s">
        <v>90</v>
      </c>
      <c r="W29" s="1" t="s">
        <v>90</v>
      </c>
      <c r="X29" s="1" t="s">
        <v>90</v>
      </c>
      <c r="Y29" s="1" t="s">
        <v>90</v>
      </c>
      <c r="Z29" s="1" t="s">
        <v>90</v>
      </c>
      <c r="AA29" s="1" t="s">
        <v>90</v>
      </c>
      <c r="AB29" s="1" t="s">
        <v>90</v>
      </c>
      <c r="AC29" s="1" t="s">
        <v>90</v>
      </c>
      <c r="AD29" s="1" t="s">
        <v>90</v>
      </c>
      <c r="AE29" s="1" t="s">
        <v>90</v>
      </c>
      <c r="AF29" s="1" t="s">
        <v>90</v>
      </c>
      <c r="AG29" s="1" t="s">
        <v>90</v>
      </c>
      <c r="AH29" s="1">
        <v>1</v>
      </c>
      <c r="AI29" s="1" t="s">
        <v>90</v>
      </c>
      <c r="AJ29" s="1" t="s">
        <v>90</v>
      </c>
      <c r="AK29" s="1" t="s">
        <v>90</v>
      </c>
      <c r="AL29" s="1" t="s">
        <v>90</v>
      </c>
      <c r="AM29" s="1" t="s">
        <v>90</v>
      </c>
      <c r="AN29" s="1" t="s">
        <v>90</v>
      </c>
      <c r="AO29" s="1" t="s">
        <v>90</v>
      </c>
      <c r="AP29" s="1" t="s">
        <v>90</v>
      </c>
      <c r="AQ29" s="1" t="s">
        <v>90</v>
      </c>
      <c r="AR29" s="1" t="s">
        <v>90</v>
      </c>
      <c r="AS29" s="1" t="s">
        <v>90</v>
      </c>
      <c r="AT29" s="1" t="s">
        <v>90</v>
      </c>
      <c r="AU29" s="1" t="s">
        <v>90</v>
      </c>
      <c r="AV29" s="1" t="s">
        <v>90</v>
      </c>
      <c r="AW29" s="1" t="s">
        <v>90</v>
      </c>
      <c r="AX29" s="1" t="s">
        <v>90</v>
      </c>
      <c r="AY29" s="1" t="s">
        <v>90</v>
      </c>
      <c r="AZ29" s="1" t="s">
        <v>90</v>
      </c>
      <c r="BA29" s="1" t="s">
        <v>90</v>
      </c>
      <c r="BB29" s="1" t="s">
        <v>90</v>
      </c>
      <c r="BC29" s="1" t="s">
        <v>90</v>
      </c>
      <c r="BD29" s="1" t="s">
        <v>90</v>
      </c>
      <c r="BE29" s="1" t="s">
        <v>90</v>
      </c>
      <c r="BF29" s="1" t="s">
        <v>90</v>
      </c>
      <c r="BG29" s="1" t="s">
        <v>90</v>
      </c>
      <c r="BH29" s="1" t="s">
        <v>90</v>
      </c>
      <c r="BI29" s="1" t="s">
        <v>90</v>
      </c>
      <c r="BJ29" s="1" t="s">
        <v>90</v>
      </c>
      <c r="BK29" s="1" t="s">
        <v>90</v>
      </c>
      <c r="BL29" s="1" t="s">
        <v>90</v>
      </c>
      <c r="BM29" s="1" t="s">
        <v>90</v>
      </c>
      <c r="BN29" s="1" t="s">
        <v>90</v>
      </c>
      <c r="BO29" s="1" t="s">
        <v>90</v>
      </c>
      <c r="BP29" s="1" t="s">
        <v>90</v>
      </c>
      <c r="BQ29" s="1" t="s">
        <v>90</v>
      </c>
      <c r="BR29" s="1" t="s">
        <v>90</v>
      </c>
      <c r="BS29" s="1" t="s">
        <v>90</v>
      </c>
      <c r="BT29" s="1" t="s">
        <v>90</v>
      </c>
      <c r="BU29" s="1" t="s">
        <v>90</v>
      </c>
      <c r="BV29" s="1" t="s">
        <v>90</v>
      </c>
    </row>
    <row r="30" spans="1:74" x14ac:dyDescent="0.25">
      <c r="A30" s="1">
        <v>1131.3708498984761</v>
      </c>
      <c r="B30" s="1" t="e">
        <f>AVERAGEIF(SttcTable[Inter-Electrode Distance],$A30,SttcTable[STTC])</f>
        <v>#DIV/0!</v>
      </c>
      <c r="J30" s="6" t="s">
        <v>50</v>
      </c>
      <c r="K30" s="1" t="s">
        <v>90</v>
      </c>
      <c r="L30" s="1" t="s">
        <v>90</v>
      </c>
      <c r="M30" s="1" t="s">
        <v>90</v>
      </c>
      <c r="N30" s="1" t="s">
        <v>90</v>
      </c>
      <c r="O30" s="1" t="s">
        <v>90</v>
      </c>
      <c r="P30" s="1" t="s">
        <v>90</v>
      </c>
      <c r="Q30" s="1" t="s">
        <v>90</v>
      </c>
      <c r="R30" s="1" t="s">
        <v>90</v>
      </c>
      <c r="S30" s="1" t="s">
        <v>90</v>
      </c>
      <c r="T30" s="1" t="s">
        <v>90</v>
      </c>
      <c r="U30" s="1" t="s">
        <v>90</v>
      </c>
      <c r="V30" s="1" t="s">
        <v>90</v>
      </c>
      <c r="W30" s="1" t="s">
        <v>90</v>
      </c>
      <c r="X30" s="1" t="s">
        <v>90</v>
      </c>
      <c r="Y30" s="1" t="s">
        <v>90</v>
      </c>
      <c r="Z30" s="1" t="s">
        <v>90</v>
      </c>
      <c r="AA30" s="1" t="s">
        <v>90</v>
      </c>
      <c r="AB30" s="1" t="s">
        <v>90</v>
      </c>
      <c r="AC30" s="1" t="s">
        <v>90</v>
      </c>
      <c r="AD30" s="1" t="s">
        <v>90</v>
      </c>
      <c r="AE30" s="1" t="s">
        <v>90</v>
      </c>
      <c r="AF30" s="1" t="s">
        <v>90</v>
      </c>
      <c r="AG30" s="1" t="s">
        <v>90</v>
      </c>
      <c r="AH30" s="1" t="s">
        <v>90</v>
      </c>
      <c r="AI30" s="1">
        <v>1</v>
      </c>
      <c r="AJ30" s="1" t="s">
        <v>90</v>
      </c>
      <c r="AK30" s="1" t="s">
        <v>90</v>
      </c>
      <c r="AL30" s="1" t="s">
        <v>90</v>
      </c>
      <c r="AM30" s="1" t="s">
        <v>90</v>
      </c>
      <c r="AN30" s="1" t="s">
        <v>90</v>
      </c>
      <c r="AO30" s="1" t="s">
        <v>90</v>
      </c>
      <c r="AP30" s="1" t="s">
        <v>90</v>
      </c>
      <c r="AQ30" s="1" t="s">
        <v>90</v>
      </c>
      <c r="AR30" s="1" t="s">
        <v>90</v>
      </c>
      <c r="AS30" s="1" t="s">
        <v>90</v>
      </c>
      <c r="AT30" s="1" t="s">
        <v>90</v>
      </c>
      <c r="AU30" s="1" t="s">
        <v>90</v>
      </c>
      <c r="AV30" s="1" t="s">
        <v>90</v>
      </c>
      <c r="AW30" s="1" t="s">
        <v>90</v>
      </c>
      <c r="AX30" s="1" t="s">
        <v>90</v>
      </c>
      <c r="AY30" s="1" t="s">
        <v>90</v>
      </c>
      <c r="AZ30" s="1" t="s">
        <v>90</v>
      </c>
      <c r="BA30" s="1" t="s">
        <v>90</v>
      </c>
      <c r="BB30" s="1" t="s">
        <v>90</v>
      </c>
      <c r="BC30" s="1" t="s">
        <v>90</v>
      </c>
      <c r="BD30" s="1" t="s">
        <v>90</v>
      </c>
      <c r="BE30" s="1" t="s">
        <v>90</v>
      </c>
      <c r="BF30" s="1" t="s">
        <v>90</v>
      </c>
      <c r="BG30" s="1" t="s">
        <v>90</v>
      </c>
      <c r="BH30" s="1" t="s">
        <v>90</v>
      </c>
      <c r="BI30" s="1" t="s">
        <v>90</v>
      </c>
      <c r="BJ30" s="1" t="s">
        <v>90</v>
      </c>
      <c r="BK30" s="1" t="s">
        <v>90</v>
      </c>
      <c r="BL30" s="1" t="s">
        <v>90</v>
      </c>
      <c r="BM30" s="1" t="s">
        <v>90</v>
      </c>
      <c r="BN30" s="1" t="s">
        <v>90</v>
      </c>
      <c r="BO30" s="1" t="s">
        <v>90</v>
      </c>
      <c r="BP30" s="1" t="s">
        <v>90</v>
      </c>
      <c r="BQ30" s="1" t="s">
        <v>90</v>
      </c>
      <c r="BR30" s="1" t="s">
        <v>90</v>
      </c>
      <c r="BS30" s="1" t="s">
        <v>90</v>
      </c>
      <c r="BT30" s="1" t="s">
        <v>90</v>
      </c>
      <c r="BU30" s="1" t="s">
        <v>90</v>
      </c>
      <c r="BV30" s="1" t="s">
        <v>90</v>
      </c>
    </row>
    <row r="31" spans="1:74" x14ac:dyDescent="0.25">
      <c r="A31" s="1">
        <v>1280.6248474865697</v>
      </c>
      <c r="B31" s="1" t="e">
        <f>AVERAGEIF(SttcTable[Inter-Electrode Distance],$A31,SttcTable[STTC])</f>
        <v>#DIV/0!</v>
      </c>
      <c r="J31" s="6" t="s">
        <v>51</v>
      </c>
      <c r="K31" s="1" t="s">
        <v>90</v>
      </c>
      <c r="L31" s="1" t="s">
        <v>90</v>
      </c>
      <c r="M31" s="1" t="s">
        <v>90</v>
      </c>
      <c r="N31" s="1" t="s">
        <v>90</v>
      </c>
      <c r="O31" s="1" t="s">
        <v>90</v>
      </c>
      <c r="P31" s="1" t="s">
        <v>90</v>
      </c>
      <c r="Q31" s="1" t="s">
        <v>90</v>
      </c>
      <c r="R31" s="1" t="s">
        <v>90</v>
      </c>
      <c r="S31" s="1" t="s">
        <v>90</v>
      </c>
      <c r="T31" s="1" t="s">
        <v>90</v>
      </c>
      <c r="U31" s="1" t="s">
        <v>90</v>
      </c>
      <c r="V31" s="1" t="s">
        <v>90</v>
      </c>
      <c r="W31" s="1" t="s">
        <v>90</v>
      </c>
      <c r="X31" s="1" t="s">
        <v>90</v>
      </c>
      <c r="Y31" s="1" t="s">
        <v>90</v>
      </c>
      <c r="Z31" s="1" t="s">
        <v>90</v>
      </c>
      <c r="AA31" s="1" t="s">
        <v>90</v>
      </c>
      <c r="AB31" s="1" t="s">
        <v>90</v>
      </c>
      <c r="AC31" s="1" t="s">
        <v>90</v>
      </c>
      <c r="AD31" s="1" t="s">
        <v>90</v>
      </c>
      <c r="AE31" s="1" t="s">
        <v>90</v>
      </c>
      <c r="AF31" s="1" t="s">
        <v>90</v>
      </c>
      <c r="AG31" s="1" t="s">
        <v>90</v>
      </c>
      <c r="AH31" s="1" t="s">
        <v>90</v>
      </c>
      <c r="AI31" s="1" t="s">
        <v>90</v>
      </c>
      <c r="AJ31" s="1">
        <v>1</v>
      </c>
      <c r="AK31" s="1" t="s">
        <v>90</v>
      </c>
      <c r="AL31" s="1" t="s">
        <v>90</v>
      </c>
      <c r="AM31" s="1" t="s">
        <v>90</v>
      </c>
      <c r="AN31" s="1" t="s">
        <v>90</v>
      </c>
      <c r="AO31" s="1" t="s">
        <v>90</v>
      </c>
      <c r="AP31" s="1" t="s">
        <v>90</v>
      </c>
      <c r="AQ31" s="1" t="s">
        <v>90</v>
      </c>
      <c r="AR31" s="1" t="s">
        <v>90</v>
      </c>
      <c r="AS31" s="1" t="s">
        <v>90</v>
      </c>
      <c r="AT31" s="1" t="s">
        <v>90</v>
      </c>
      <c r="AU31" s="1" t="s">
        <v>90</v>
      </c>
      <c r="AV31" s="1" t="s">
        <v>90</v>
      </c>
      <c r="AW31" s="1" t="s">
        <v>90</v>
      </c>
      <c r="AX31" s="1" t="s">
        <v>90</v>
      </c>
      <c r="AY31" s="1" t="s">
        <v>90</v>
      </c>
      <c r="AZ31" s="1" t="s">
        <v>90</v>
      </c>
      <c r="BA31" s="1" t="s">
        <v>90</v>
      </c>
      <c r="BB31" s="1" t="s">
        <v>90</v>
      </c>
      <c r="BC31" s="1" t="s">
        <v>90</v>
      </c>
      <c r="BD31" s="1" t="s">
        <v>90</v>
      </c>
      <c r="BE31" s="1" t="s">
        <v>90</v>
      </c>
      <c r="BF31" s="1" t="s">
        <v>90</v>
      </c>
      <c r="BG31" s="1" t="s">
        <v>90</v>
      </c>
      <c r="BH31" s="1" t="s">
        <v>90</v>
      </c>
      <c r="BI31" s="1" t="s">
        <v>90</v>
      </c>
      <c r="BJ31" s="1" t="s">
        <v>90</v>
      </c>
      <c r="BK31" s="1" t="s">
        <v>90</v>
      </c>
      <c r="BL31" s="1" t="s">
        <v>90</v>
      </c>
      <c r="BM31" s="1" t="s">
        <v>90</v>
      </c>
      <c r="BN31" s="1" t="s">
        <v>90</v>
      </c>
      <c r="BO31" s="1" t="s">
        <v>90</v>
      </c>
      <c r="BP31" s="1" t="s">
        <v>90</v>
      </c>
      <c r="BQ31" s="1" t="s">
        <v>90</v>
      </c>
      <c r="BR31" s="1" t="s">
        <v>90</v>
      </c>
      <c r="BS31" s="1" t="s">
        <v>90</v>
      </c>
      <c r="BT31" s="1" t="s">
        <v>90</v>
      </c>
      <c r="BU31" s="1" t="s">
        <v>90</v>
      </c>
      <c r="BV31" s="1" t="s">
        <v>90</v>
      </c>
    </row>
    <row r="32" spans="1:74" x14ac:dyDescent="0.25">
      <c r="A32" s="1">
        <v>1442.2205101855957</v>
      </c>
      <c r="B32" s="1" t="e">
        <f>AVERAGEIF(SttcTable[Inter-Electrode Distance],$A32,SttcTable[STTC])</f>
        <v>#DIV/0!</v>
      </c>
      <c r="J32" s="6" t="s">
        <v>52</v>
      </c>
      <c r="K32" s="1" t="s">
        <v>90</v>
      </c>
      <c r="L32" s="1" t="s">
        <v>90</v>
      </c>
      <c r="M32" s="1" t="s">
        <v>90</v>
      </c>
      <c r="N32" s="1" t="s">
        <v>90</v>
      </c>
      <c r="O32" s="1" t="s">
        <v>90</v>
      </c>
      <c r="P32" s="1" t="s">
        <v>90</v>
      </c>
      <c r="Q32" s="1" t="s">
        <v>90</v>
      </c>
      <c r="R32" s="1" t="s">
        <v>90</v>
      </c>
      <c r="S32" s="1" t="s">
        <v>90</v>
      </c>
      <c r="T32" s="1" t="s">
        <v>90</v>
      </c>
      <c r="U32" s="1" t="s">
        <v>90</v>
      </c>
      <c r="V32" s="1" t="s">
        <v>90</v>
      </c>
      <c r="W32" s="1" t="s">
        <v>90</v>
      </c>
      <c r="X32" s="1" t="s">
        <v>90</v>
      </c>
      <c r="Y32" s="1" t="s">
        <v>90</v>
      </c>
      <c r="Z32" s="1" t="s">
        <v>90</v>
      </c>
      <c r="AA32" s="1" t="s">
        <v>90</v>
      </c>
      <c r="AB32" s="1" t="s">
        <v>90</v>
      </c>
      <c r="AC32" s="1" t="s">
        <v>90</v>
      </c>
      <c r="AD32" s="1" t="s">
        <v>90</v>
      </c>
      <c r="AE32" s="1" t="s">
        <v>90</v>
      </c>
      <c r="AF32" s="1" t="s">
        <v>90</v>
      </c>
      <c r="AG32" s="1" t="s">
        <v>90</v>
      </c>
      <c r="AH32" s="1" t="s">
        <v>90</v>
      </c>
      <c r="AI32" s="1" t="s">
        <v>90</v>
      </c>
      <c r="AJ32" s="1" t="s">
        <v>90</v>
      </c>
      <c r="AK32" s="1">
        <v>1</v>
      </c>
      <c r="AL32" s="1" t="s">
        <v>90</v>
      </c>
      <c r="AM32" s="1" t="s">
        <v>90</v>
      </c>
      <c r="AN32" s="1" t="s">
        <v>90</v>
      </c>
      <c r="AO32" s="1" t="s">
        <v>90</v>
      </c>
      <c r="AP32" s="1" t="s">
        <v>90</v>
      </c>
      <c r="AQ32" s="1" t="s">
        <v>90</v>
      </c>
      <c r="AR32" s="1" t="s">
        <v>90</v>
      </c>
      <c r="AS32" s="1" t="s">
        <v>90</v>
      </c>
      <c r="AT32" s="1" t="s">
        <v>90</v>
      </c>
      <c r="AU32" s="1" t="s">
        <v>90</v>
      </c>
      <c r="AV32" s="1" t="s">
        <v>90</v>
      </c>
      <c r="AW32" s="1" t="s">
        <v>90</v>
      </c>
      <c r="AX32" s="1" t="s">
        <v>90</v>
      </c>
      <c r="AY32" s="1" t="s">
        <v>90</v>
      </c>
      <c r="AZ32" s="1" t="s">
        <v>90</v>
      </c>
      <c r="BA32" s="1" t="s">
        <v>90</v>
      </c>
      <c r="BB32" s="1" t="s">
        <v>90</v>
      </c>
      <c r="BC32" s="1" t="s">
        <v>90</v>
      </c>
      <c r="BD32" s="1" t="s">
        <v>90</v>
      </c>
      <c r="BE32" s="1" t="s">
        <v>90</v>
      </c>
      <c r="BF32" s="1" t="s">
        <v>90</v>
      </c>
      <c r="BG32" s="1" t="s">
        <v>90</v>
      </c>
      <c r="BH32" s="1" t="s">
        <v>90</v>
      </c>
      <c r="BI32" s="1" t="s">
        <v>90</v>
      </c>
      <c r="BJ32" s="1" t="s">
        <v>90</v>
      </c>
      <c r="BK32" s="1" t="s">
        <v>90</v>
      </c>
      <c r="BL32" s="1" t="s">
        <v>90</v>
      </c>
      <c r="BM32" s="1" t="s">
        <v>90</v>
      </c>
      <c r="BN32" s="1" t="s">
        <v>90</v>
      </c>
      <c r="BO32" s="1" t="s">
        <v>90</v>
      </c>
      <c r="BP32" s="1" t="s">
        <v>90</v>
      </c>
      <c r="BQ32" s="1" t="s">
        <v>90</v>
      </c>
      <c r="BR32" s="1" t="s">
        <v>90</v>
      </c>
      <c r="BS32" s="1" t="s">
        <v>90</v>
      </c>
      <c r="BT32" s="1" t="s">
        <v>90</v>
      </c>
      <c r="BU32" s="1" t="s">
        <v>90</v>
      </c>
      <c r="BV32" s="1" t="s">
        <v>90</v>
      </c>
    </row>
    <row r="33" spans="1:74" x14ac:dyDescent="0.25">
      <c r="A33" s="1">
        <v>1612.4515496597098</v>
      </c>
      <c r="B33" s="1" t="e">
        <f>AVERAGEIF(SttcTable[Inter-Electrode Distance],$A33,SttcTable[STTC])</f>
        <v>#DIV/0!</v>
      </c>
      <c r="J33" s="6" t="s">
        <v>53</v>
      </c>
      <c r="K33" s="1" t="s">
        <v>90</v>
      </c>
      <c r="L33" s="1" t="s">
        <v>90</v>
      </c>
      <c r="M33" s="1" t="s">
        <v>90</v>
      </c>
      <c r="N33" s="1" t="s">
        <v>90</v>
      </c>
      <c r="O33" s="1" t="s">
        <v>90</v>
      </c>
      <c r="P33" s="1" t="s">
        <v>90</v>
      </c>
      <c r="Q33" s="1" t="s">
        <v>90</v>
      </c>
      <c r="R33" s="1" t="s">
        <v>90</v>
      </c>
      <c r="S33" s="1" t="s">
        <v>90</v>
      </c>
      <c r="T33" s="1" t="s">
        <v>90</v>
      </c>
      <c r="U33" s="1" t="s">
        <v>90</v>
      </c>
      <c r="V33" s="1" t="s">
        <v>90</v>
      </c>
      <c r="W33" s="1" t="s">
        <v>90</v>
      </c>
      <c r="X33" s="1" t="s">
        <v>90</v>
      </c>
      <c r="Y33" s="1" t="s">
        <v>90</v>
      </c>
      <c r="Z33" s="1" t="s">
        <v>90</v>
      </c>
      <c r="AA33" s="1" t="s">
        <v>90</v>
      </c>
      <c r="AB33" s="1" t="s">
        <v>90</v>
      </c>
      <c r="AC33" s="1" t="s">
        <v>90</v>
      </c>
      <c r="AD33" s="1" t="s">
        <v>90</v>
      </c>
      <c r="AE33" s="1" t="s">
        <v>90</v>
      </c>
      <c r="AF33" s="1" t="s">
        <v>90</v>
      </c>
      <c r="AG33" s="1" t="s">
        <v>90</v>
      </c>
      <c r="AH33" s="1" t="s">
        <v>90</v>
      </c>
      <c r="AI33" s="1" t="s">
        <v>90</v>
      </c>
      <c r="AJ33" s="1" t="s">
        <v>90</v>
      </c>
      <c r="AK33" s="1" t="s">
        <v>90</v>
      </c>
      <c r="AL33" s="1">
        <v>1</v>
      </c>
      <c r="AM33" s="1" t="s">
        <v>90</v>
      </c>
      <c r="AN33" s="1" t="s">
        <v>90</v>
      </c>
      <c r="AO33" s="1" t="s">
        <v>90</v>
      </c>
      <c r="AP33" s="1" t="s">
        <v>90</v>
      </c>
      <c r="AQ33" s="1" t="s">
        <v>90</v>
      </c>
      <c r="AR33" s="1" t="s">
        <v>90</v>
      </c>
      <c r="AS33" s="1" t="s">
        <v>90</v>
      </c>
      <c r="AT33" s="1" t="s">
        <v>90</v>
      </c>
      <c r="AU33" s="1" t="s">
        <v>90</v>
      </c>
      <c r="AV33" s="1" t="s">
        <v>90</v>
      </c>
      <c r="AW33" s="1" t="s">
        <v>90</v>
      </c>
      <c r="AX33" s="1" t="s">
        <v>90</v>
      </c>
      <c r="AY33" s="1" t="s">
        <v>90</v>
      </c>
      <c r="AZ33" s="1" t="s">
        <v>90</v>
      </c>
      <c r="BA33" s="1" t="s">
        <v>90</v>
      </c>
      <c r="BB33" s="1" t="s">
        <v>90</v>
      </c>
      <c r="BC33" s="1" t="s">
        <v>90</v>
      </c>
      <c r="BD33" s="1" t="s">
        <v>90</v>
      </c>
      <c r="BE33" s="1" t="s">
        <v>90</v>
      </c>
      <c r="BF33" s="1" t="s">
        <v>90</v>
      </c>
      <c r="BG33" s="1" t="s">
        <v>90</v>
      </c>
      <c r="BH33" s="1" t="s">
        <v>90</v>
      </c>
      <c r="BI33" s="1" t="s">
        <v>90</v>
      </c>
      <c r="BJ33" s="1" t="s">
        <v>90</v>
      </c>
      <c r="BK33" s="1" t="s">
        <v>90</v>
      </c>
      <c r="BL33" s="1" t="s">
        <v>90</v>
      </c>
      <c r="BM33" s="1" t="s">
        <v>90</v>
      </c>
      <c r="BN33" s="1" t="s">
        <v>90</v>
      </c>
      <c r="BO33" s="1" t="s">
        <v>90</v>
      </c>
      <c r="BP33" s="1" t="s">
        <v>90</v>
      </c>
      <c r="BQ33" s="1" t="s">
        <v>90</v>
      </c>
      <c r="BR33" s="1" t="s">
        <v>90</v>
      </c>
      <c r="BS33" s="1" t="s">
        <v>90</v>
      </c>
      <c r="BT33" s="1" t="s">
        <v>90</v>
      </c>
      <c r="BU33" s="1" t="s">
        <v>90</v>
      </c>
      <c r="BV33" s="1" t="s">
        <v>90</v>
      </c>
    </row>
    <row r="34" spans="1:74" x14ac:dyDescent="0.25">
      <c r="A34" s="1">
        <v>1562.0499351813307</v>
      </c>
      <c r="B34" s="1" t="e">
        <f>AVERAGEIF(SttcTable[Inter-Electrode Distance],$A34,SttcTable[STTC])</f>
        <v>#DIV/0!</v>
      </c>
      <c r="J34" s="6" t="s">
        <v>54</v>
      </c>
      <c r="K34" s="1" t="s">
        <v>90</v>
      </c>
      <c r="L34" s="1" t="s">
        <v>90</v>
      </c>
      <c r="M34" s="1" t="s">
        <v>90</v>
      </c>
      <c r="N34" s="1" t="s">
        <v>90</v>
      </c>
      <c r="O34" s="1" t="s">
        <v>90</v>
      </c>
      <c r="P34" s="1" t="s">
        <v>90</v>
      </c>
      <c r="Q34" s="1" t="s">
        <v>90</v>
      </c>
      <c r="R34" s="1" t="s">
        <v>90</v>
      </c>
      <c r="S34" s="1" t="s">
        <v>90</v>
      </c>
      <c r="T34" s="1" t="s">
        <v>90</v>
      </c>
      <c r="U34" s="1" t="s">
        <v>90</v>
      </c>
      <c r="V34" s="1" t="s">
        <v>90</v>
      </c>
      <c r="W34" s="1" t="s">
        <v>90</v>
      </c>
      <c r="X34" s="1" t="s">
        <v>90</v>
      </c>
      <c r="Y34" s="1" t="s">
        <v>90</v>
      </c>
      <c r="Z34" s="1" t="s">
        <v>90</v>
      </c>
      <c r="AA34" s="1" t="s">
        <v>90</v>
      </c>
      <c r="AB34" s="1" t="s">
        <v>90</v>
      </c>
      <c r="AC34" s="1" t="s">
        <v>90</v>
      </c>
      <c r="AD34" s="1" t="s">
        <v>90</v>
      </c>
      <c r="AE34" s="1" t="s">
        <v>90</v>
      </c>
      <c r="AF34" s="1" t="s">
        <v>90</v>
      </c>
      <c r="AG34" s="1" t="s">
        <v>90</v>
      </c>
      <c r="AH34" s="1" t="s">
        <v>90</v>
      </c>
      <c r="AI34" s="1" t="s">
        <v>90</v>
      </c>
      <c r="AJ34" s="1" t="s">
        <v>90</v>
      </c>
      <c r="AK34" s="1" t="s">
        <v>90</v>
      </c>
      <c r="AL34" s="1" t="s">
        <v>90</v>
      </c>
      <c r="AM34" s="1">
        <v>1</v>
      </c>
      <c r="AN34" s="1" t="s">
        <v>90</v>
      </c>
      <c r="AO34" s="1" t="s">
        <v>90</v>
      </c>
      <c r="AP34" s="1" t="s">
        <v>90</v>
      </c>
      <c r="AQ34" s="1" t="s">
        <v>90</v>
      </c>
      <c r="AR34" s="1" t="s">
        <v>90</v>
      </c>
      <c r="AS34" s="1" t="s">
        <v>90</v>
      </c>
      <c r="AT34" s="1" t="s">
        <v>90</v>
      </c>
      <c r="AU34" s="1" t="s">
        <v>90</v>
      </c>
      <c r="AV34" s="1" t="s">
        <v>90</v>
      </c>
      <c r="AW34" s="1" t="s">
        <v>90</v>
      </c>
      <c r="AX34" s="1" t="s">
        <v>90</v>
      </c>
      <c r="AY34" s="1" t="s">
        <v>90</v>
      </c>
      <c r="AZ34" s="1" t="s">
        <v>90</v>
      </c>
      <c r="BA34" s="1" t="s">
        <v>90</v>
      </c>
      <c r="BB34" s="1" t="s">
        <v>90</v>
      </c>
      <c r="BC34" s="1" t="s">
        <v>90</v>
      </c>
      <c r="BD34" s="1" t="s">
        <v>90</v>
      </c>
      <c r="BE34" s="1" t="s">
        <v>90</v>
      </c>
      <c r="BF34" s="1" t="s">
        <v>90</v>
      </c>
      <c r="BG34" s="1" t="s">
        <v>90</v>
      </c>
      <c r="BH34" s="1" t="s">
        <v>90</v>
      </c>
      <c r="BI34" s="1" t="s">
        <v>90</v>
      </c>
      <c r="BJ34" s="1" t="s">
        <v>90</v>
      </c>
      <c r="BK34" s="1" t="s">
        <v>90</v>
      </c>
      <c r="BL34" s="1" t="s">
        <v>90</v>
      </c>
      <c r="BM34" s="1" t="s">
        <v>90</v>
      </c>
      <c r="BN34" s="1" t="s">
        <v>90</v>
      </c>
      <c r="BO34" s="1" t="s">
        <v>90</v>
      </c>
      <c r="BP34" s="1" t="s">
        <v>90</v>
      </c>
      <c r="BQ34" s="1" t="s">
        <v>90</v>
      </c>
      <c r="BR34" s="1" t="s">
        <v>90</v>
      </c>
      <c r="BS34" s="1" t="s">
        <v>90</v>
      </c>
      <c r="BT34" s="1" t="s">
        <v>90</v>
      </c>
      <c r="BU34" s="1" t="s">
        <v>90</v>
      </c>
      <c r="BV34" s="1" t="s">
        <v>90</v>
      </c>
    </row>
    <row r="35" spans="1:74" x14ac:dyDescent="0.25">
      <c r="A35" s="1">
        <v>1720.4650534085254</v>
      </c>
      <c r="B35" s="1" t="e">
        <f>AVERAGEIF(SttcTable[Inter-Electrode Distance],$A35,SttcTable[STTC])</f>
        <v>#DIV/0!</v>
      </c>
      <c r="J35" s="6" t="s">
        <v>55</v>
      </c>
      <c r="K35" s="1" t="s">
        <v>90</v>
      </c>
      <c r="L35" s="1" t="s">
        <v>90</v>
      </c>
      <c r="M35" s="1" t="s">
        <v>90</v>
      </c>
      <c r="N35" s="1" t="s">
        <v>90</v>
      </c>
      <c r="O35" s="1" t="s">
        <v>90</v>
      </c>
      <c r="P35" s="1" t="s">
        <v>90</v>
      </c>
      <c r="Q35" s="1" t="s">
        <v>90</v>
      </c>
      <c r="R35" s="1" t="s">
        <v>90</v>
      </c>
      <c r="S35" s="1" t="s">
        <v>90</v>
      </c>
      <c r="T35" s="1" t="s">
        <v>90</v>
      </c>
      <c r="U35" s="1" t="s">
        <v>90</v>
      </c>
      <c r="V35" s="1" t="s">
        <v>90</v>
      </c>
      <c r="W35" s="1" t="s">
        <v>90</v>
      </c>
      <c r="X35" s="1" t="s">
        <v>90</v>
      </c>
      <c r="Y35" s="1" t="s">
        <v>90</v>
      </c>
      <c r="Z35" s="1" t="s">
        <v>90</v>
      </c>
      <c r="AA35" s="1" t="s">
        <v>90</v>
      </c>
      <c r="AB35" s="1" t="s">
        <v>90</v>
      </c>
      <c r="AC35" s="1" t="s">
        <v>90</v>
      </c>
      <c r="AD35" s="1" t="s">
        <v>90</v>
      </c>
      <c r="AE35" s="1" t="s">
        <v>90</v>
      </c>
      <c r="AF35" s="1" t="s">
        <v>90</v>
      </c>
      <c r="AG35" s="1" t="s">
        <v>90</v>
      </c>
      <c r="AH35" s="1" t="s">
        <v>90</v>
      </c>
      <c r="AI35" s="1" t="s">
        <v>90</v>
      </c>
      <c r="AJ35" s="1" t="s">
        <v>90</v>
      </c>
      <c r="AK35" s="1" t="s">
        <v>90</v>
      </c>
      <c r="AL35" s="1" t="s">
        <v>90</v>
      </c>
      <c r="AM35" s="1" t="s">
        <v>90</v>
      </c>
      <c r="AN35" s="1">
        <v>1</v>
      </c>
      <c r="AO35" s="1" t="s">
        <v>90</v>
      </c>
      <c r="AP35" s="1" t="s">
        <v>90</v>
      </c>
      <c r="AQ35" s="1" t="s">
        <v>90</v>
      </c>
      <c r="AR35" s="1" t="s">
        <v>90</v>
      </c>
      <c r="AS35" s="1" t="s">
        <v>90</v>
      </c>
      <c r="AT35" s="1" t="s">
        <v>90</v>
      </c>
      <c r="AU35" s="1" t="s">
        <v>90</v>
      </c>
      <c r="AV35" s="1" t="s">
        <v>90</v>
      </c>
      <c r="AW35" s="1" t="s">
        <v>90</v>
      </c>
      <c r="AX35" s="1" t="s">
        <v>90</v>
      </c>
      <c r="AY35" s="1" t="s">
        <v>90</v>
      </c>
      <c r="AZ35" s="1" t="s">
        <v>90</v>
      </c>
      <c r="BA35" s="1" t="s">
        <v>90</v>
      </c>
      <c r="BB35" s="1" t="s">
        <v>90</v>
      </c>
      <c r="BC35" s="1" t="s">
        <v>90</v>
      </c>
      <c r="BD35" s="1" t="s">
        <v>90</v>
      </c>
      <c r="BE35" s="1" t="s">
        <v>90</v>
      </c>
      <c r="BF35" s="1" t="s">
        <v>90</v>
      </c>
      <c r="BG35" s="1" t="s">
        <v>90</v>
      </c>
      <c r="BH35" s="1" t="s">
        <v>90</v>
      </c>
      <c r="BI35" s="1" t="s">
        <v>90</v>
      </c>
      <c r="BJ35" s="1" t="s">
        <v>90</v>
      </c>
      <c r="BK35" s="1" t="s">
        <v>90</v>
      </c>
      <c r="BL35" s="1" t="s">
        <v>90</v>
      </c>
      <c r="BM35" s="1" t="s">
        <v>90</v>
      </c>
      <c r="BN35" s="1" t="s">
        <v>90</v>
      </c>
      <c r="BO35" s="1" t="s">
        <v>90</v>
      </c>
      <c r="BP35" s="1" t="s">
        <v>90</v>
      </c>
      <c r="BQ35" s="1" t="s">
        <v>90</v>
      </c>
      <c r="BR35" s="1" t="s">
        <v>90</v>
      </c>
      <c r="BS35" s="1" t="s">
        <v>90</v>
      </c>
      <c r="BT35" s="1" t="s">
        <v>90</v>
      </c>
      <c r="BU35" s="1" t="s">
        <v>90</v>
      </c>
      <c r="BV35" s="1" t="s">
        <v>90</v>
      </c>
    </row>
    <row r="36" spans="1:74" x14ac:dyDescent="0.25">
      <c r="A36" s="1">
        <v>1697.0562748477139</v>
      </c>
      <c r="B36" s="1" t="e">
        <f>AVERAGEIF(SttcTable[Inter-Electrode Distance],$A36,SttcTable[STTC])</f>
        <v>#DIV/0!</v>
      </c>
      <c r="J36" s="6" t="s">
        <v>56</v>
      </c>
      <c r="K36" s="1" t="s">
        <v>90</v>
      </c>
      <c r="L36" s="1" t="s">
        <v>90</v>
      </c>
      <c r="M36" s="1" t="s">
        <v>90</v>
      </c>
      <c r="N36" s="1" t="s">
        <v>90</v>
      </c>
      <c r="O36" s="1" t="s">
        <v>90</v>
      </c>
      <c r="P36" s="1" t="s">
        <v>90</v>
      </c>
      <c r="Q36" s="1" t="s">
        <v>90</v>
      </c>
      <c r="R36" s="1" t="s">
        <v>90</v>
      </c>
      <c r="S36" s="1" t="s">
        <v>90</v>
      </c>
      <c r="T36" s="1" t="s">
        <v>90</v>
      </c>
      <c r="U36" s="1" t="s">
        <v>90</v>
      </c>
      <c r="V36" s="1" t="s">
        <v>90</v>
      </c>
      <c r="W36" s="1" t="s">
        <v>90</v>
      </c>
      <c r="X36" s="1" t="s">
        <v>90</v>
      </c>
      <c r="Y36" s="1" t="s">
        <v>90</v>
      </c>
      <c r="Z36" s="1" t="s">
        <v>90</v>
      </c>
      <c r="AA36" s="1" t="s">
        <v>90</v>
      </c>
      <c r="AB36" s="1" t="s">
        <v>90</v>
      </c>
      <c r="AC36" s="1" t="s">
        <v>90</v>
      </c>
      <c r="AD36" s="1" t="s">
        <v>90</v>
      </c>
      <c r="AE36" s="1" t="s">
        <v>90</v>
      </c>
      <c r="AF36" s="1" t="s">
        <v>90</v>
      </c>
      <c r="AG36" s="1" t="s">
        <v>90</v>
      </c>
      <c r="AH36" s="1" t="s">
        <v>90</v>
      </c>
      <c r="AI36" s="1" t="s">
        <v>90</v>
      </c>
      <c r="AJ36" s="1" t="s">
        <v>90</v>
      </c>
      <c r="AK36" s="1" t="s">
        <v>90</v>
      </c>
      <c r="AL36" s="1" t="s">
        <v>90</v>
      </c>
      <c r="AM36" s="1" t="s">
        <v>90</v>
      </c>
      <c r="AN36" s="1" t="s">
        <v>90</v>
      </c>
      <c r="AO36" s="1">
        <v>1</v>
      </c>
      <c r="AP36" s="1" t="s">
        <v>90</v>
      </c>
      <c r="AQ36" s="1" t="s">
        <v>90</v>
      </c>
      <c r="AR36" s="1" t="s">
        <v>90</v>
      </c>
      <c r="AS36" s="1" t="s">
        <v>90</v>
      </c>
      <c r="AT36" s="1" t="s">
        <v>90</v>
      </c>
      <c r="AU36" s="1" t="s">
        <v>90</v>
      </c>
      <c r="AV36" s="1" t="s">
        <v>90</v>
      </c>
      <c r="AW36" s="1" t="s">
        <v>90</v>
      </c>
      <c r="AX36" s="1" t="s">
        <v>90</v>
      </c>
      <c r="AY36" s="1" t="s">
        <v>90</v>
      </c>
      <c r="AZ36" s="1" t="s">
        <v>90</v>
      </c>
      <c r="BA36" s="1" t="s">
        <v>90</v>
      </c>
      <c r="BB36" s="1" t="s">
        <v>90</v>
      </c>
      <c r="BC36" s="1" t="s">
        <v>90</v>
      </c>
      <c r="BD36" s="1" t="s">
        <v>90</v>
      </c>
      <c r="BE36" s="1" t="s">
        <v>90</v>
      </c>
      <c r="BF36" s="1" t="s">
        <v>90</v>
      </c>
      <c r="BG36" s="1" t="s">
        <v>90</v>
      </c>
      <c r="BH36" s="1" t="s">
        <v>90</v>
      </c>
      <c r="BI36" s="1" t="s">
        <v>90</v>
      </c>
      <c r="BJ36" s="1" t="s">
        <v>90</v>
      </c>
      <c r="BK36" s="1" t="s">
        <v>90</v>
      </c>
      <c r="BL36" s="1" t="s">
        <v>90</v>
      </c>
      <c r="BM36" s="1" t="s">
        <v>90</v>
      </c>
      <c r="BN36" s="1" t="s">
        <v>90</v>
      </c>
      <c r="BO36" s="1" t="s">
        <v>90</v>
      </c>
      <c r="BP36" s="1" t="s">
        <v>90</v>
      </c>
      <c r="BQ36" s="1" t="s">
        <v>90</v>
      </c>
      <c r="BR36" s="1" t="s">
        <v>90</v>
      </c>
      <c r="BS36" s="1" t="s">
        <v>90</v>
      </c>
      <c r="BT36" s="1" t="s">
        <v>90</v>
      </c>
      <c r="BU36" s="1" t="s">
        <v>90</v>
      </c>
      <c r="BV36" s="1" t="s">
        <v>90</v>
      </c>
    </row>
    <row r="37" spans="1:74" x14ac:dyDescent="0.25">
      <c r="A37" s="1">
        <v>1843.9088914585775</v>
      </c>
      <c r="B37" s="1" t="e">
        <f>AVERAGEIF(SttcTable[Inter-Electrode Distance],$A37,SttcTable[STTC])</f>
        <v>#DIV/0!</v>
      </c>
      <c r="J37" s="6" t="s">
        <v>57</v>
      </c>
      <c r="K37" s="1" t="s">
        <v>90</v>
      </c>
      <c r="L37" s="1" t="s">
        <v>90</v>
      </c>
      <c r="M37" s="1" t="s">
        <v>90</v>
      </c>
      <c r="N37" s="1" t="s">
        <v>90</v>
      </c>
      <c r="O37" s="1" t="s">
        <v>90</v>
      </c>
      <c r="P37" s="1" t="s">
        <v>90</v>
      </c>
      <c r="Q37" s="1" t="s">
        <v>90</v>
      </c>
      <c r="R37" s="1" t="s">
        <v>90</v>
      </c>
      <c r="S37" s="1" t="s">
        <v>90</v>
      </c>
      <c r="T37" s="1" t="s">
        <v>90</v>
      </c>
      <c r="U37" s="1" t="s">
        <v>90</v>
      </c>
      <c r="V37" s="1" t="s">
        <v>90</v>
      </c>
      <c r="W37" s="1" t="s">
        <v>90</v>
      </c>
      <c r="X37" s="1" t="s">
        <v>90</v>
      </c>
      <c r="Y37" s="1" t="s">
        <v>90</v>
      </c>
      <c r="Z37" s="1" t="s">
        <v>90</v>
      </c>
      <c r="AA37" s="1" t="s">
        <v>90</v>
      </c>
      <c r="AB37" s="1" t="s">
        <v>90</v>
      </c>
      <c r="AC37" s="1" t="s">
        <v>90</v>
      </c>
      <c r="AD37" s="1" t="s">
        <v>90</v>
      </c>
      <c r="AE37" s="1" t="s">
        <v>90</v>
      </c>
      <c r="AF37" s="1" t="s">
        <v>90</v>
      </c>
      <c r="AG37" s="1" t="s">
        <v>90</v>
      </c>
      <c r="AH37" s="1" t="s">
        <v>90</v>
      </c>
      <c r="AI37" s="1" t="s">
        <v>90</v>
      </c>
      <c r="AJ37" s="1" t="s">
        <v>90</v>
      </c>
      <c r="AK37" s="1" t="s">
        <v>90</v>
      </c>
      <c r="AL37" s="1" t="s">
        <v>90</v>
      </c>
      <c r="AM37" s="1" t="s">
        <v>90</v>
      </c>
      <c r="AN37" s="1" t="s">
        <v>90</v>
      </c>
      <c r="AO37" s="1" t="s">
        <v>90</v>
      </c>
      <c r="AP37" s="1">
        <v>1</v>
      </c>
      <c r="AQ37" s="1" t="s">
        <v>90</v>
      </c>
      <c r="AR37" s="1" t="s">
        <v>90</v>
      </c>
      <c r="AS37" s="1" t="s">
        <v>90</v>
      </c>
      <c r="AT37" s="1" t="s">
        <v>90</v>
      </c>
      <c r="AU37" s="1" t="s">
        <v>90</v>
      </c>
      <c r="AV37" s="1" t="s">
        <v>90</v>
      </c>
      <c r="AW37" s="1" t="s">
        <v>90</v>
      </c>
      <c r="AX37" s="1" t="s">
        <v>90</v>
      </c>
      <c r="AY37" s="1" t="s">
        <v>90</v>
      </c>
      <c r="AZ37" s="1" t="s">
        <v>90</v>
      </c>
      <c r="BA37" s="1" t="s">
        <v>90</v>
      </c>
      <c r="BB37" s="1" t="s">
        <v>90</v>
      </c>
      <c r="BC37" s="1" t="s">
        <v>90</v>
      </c>
      <c r="BD37" s="1" t="s">
        <v>90</v>
      </c>
      <c r="BE37" s="1" t="s">
        <v>90</v>
      </c>
      <c r="BF37" s="1" t="s">
        <v>90</v>
      </c>
      <c r="BG37" s="1" t="s">
        <v>90</v>
      </c>
      <c r="BH37" s="1" t="s">
        <v>90</v>
      </c>
      <c r="BI37" s="1" t="s">
        <v>90</v>
      </c>
      <c r="BJ37" s="1" t="s">
        <v>90</v>
      </c>
      <c r="BK37" s="1" t="s">
        <v>90</v>
      </c>
      <c r="BL37" s="1" t="s">
        <v>90</v>
      </c>
      <c r="BM37" s="1" t="s">
        <v>90</v>
      </c>
      <c r="BN37" s="1" t="s">
        <v>90</v>
      </c>
      <c r="BO37" s="1" t="s">
        <v>90</v>
      </c>
      <c r="BP37" s="1" t="s">
        <v>90</v>
      </c>
      <c r="BQ37" s="1" t="s">
        <v>90</v>
      </c>
      <c r="BR37" s="1" t="s">
        <v>90</v>
      </c>
      <c r="BS37" s="1" t="s">
        <v>90</v>
      </c>
      <c r="BT37" s="1" t="s">
        <v>90</v>
      </c>
      <c r="BU37" s="1" t="s">
        <v>90</v>
      </c>
      <c r="BV37" s="1" t="s">
        <v>90</v>
      </c>
    </row>
    <row r="38" spans="1:74" x14ac:dyDescent="0.25">
      <c r="A38" s="1">
        <v>1979.8989873223331</v>
      </c>
      <c r="B38" s="1" t="e">
        <f>AVERAGEIF(SttcTable[Inter-Electrode Distance],$A38,SttcTable[STTC])</f>
        <v>#DIV/0!</v>
      </c>
      <c r="J38" s="6" t="s">
        <v>58</v>
      </c>
      <c r="K38" s="1" t="s">
        <v>90</v>
      </c>
      <c r="L38" s="1" t="s">
        <v>90</v>
      </c>
      <c r="M38" s="1" t="s">
        <v>90</v>
      </c>
      <c r="N38" s="1" t="s">
        <v>90</v>
      </c>
      <c r="O38" s="1" t="s">
        <v>90</v>
      </c>
      <c r="P38" s="1" t="s">
        <v>90</v>
      </c>
      <c r="Q38" s="1" t="s">
        <v>90</v>
      </c>
      <c r="R38" s="1" t="s">
        <v>90</v>
      </c>
      <c r="S38" s="1" t="s">
        <v>90</v>
      </c>
      <c r="T38" s="1" t="s">
        <v>90</v>
      </c>
      <c r="U38" s="1" t="s">
        <v>90</v>
      </c>
      <c r="V38" s="1" t="s">
        <v>90</v>
      </c>
      <c r="W38" s="1" t="s">
        <v>90</v>
      </c>
      <c r="X38" s="1" t="s">
        <v>90</v>
      </c>
      <c r="Y38" s="1" t="s">
        <v>90</v>
      </c>
      <c r="Z38" s="1" t="s">
        <v>90</v>
      </c>
      <c r="AA38" s="1" t="s">
        <v>90</v>
      </c>
      <c r="AB38" s="1" t="s">
        <v>90</v>
      </c>
      <c r="AC38" s="1" t="s">
        <v>90</v>
      </c>
      <c r="AD38" s="1" t="s">
        <v>90</v>
      </c>
      <c r="AE38" s="1" t="s">
        <v>90</v>
      </c>
      <c r="AF38" s="1" t="s">
        <v>90</v>
      </c>
      <c r="AG38" s="1" t="s">
        <v>90</v>
      </c>
      <c r="AH38" s="1" t="s">
        <v>90</v>
      </c>
      <c r="AI38" s="1" t="s">
        <v>90</v>
      </c>
      <c r="AJ38" s="1" t="s">
        <v>90</v>
      </c>
      <c r="AK38" s="1" t="s">
        <v>90</v>
      </c>
      <c r="AL38" s="1" t="s">
        <v>90</v>
      </c>
      <c r="AM38" s="1" t="s">
        <v>90</v>
      </c>
      <c r="AN38" s="1" t="s">
        <v>90</v>
      </c>
      <c r="AO38" s="1" t="s">
        <v>90</v>
      </c>
      <c r="AP38" s="1" t="s">
        <v>90</v>
      </c>
      <c r="AQ38" s="1">
        <v>1</v>
      </c>
      <c r="AR38" s="1" t="s">
        <v>90</v>
      </c>
      <c r="AS38" s="1" t="s">
        <v>90</v>
      </c>
      <c r="AT38" s="1" t="s">
        <v>90</v>
      </c>
      <c r="AU38" s="1" t="s">
        <v>90</v>
      </c>
      <c r="AV38" s="1" t="s">
        <v>90</v>
      </c>
      <c r="AW38" s="1" t="s">
        <v>90</v>
      </c>
      <c r="AX38" s="1" t="s">
        <v>90</v>
      </c>
      <c r="AY38" s="1" t="s">
        <v>90</v>
      </c>
      <c r="AZ38" s="1" t="s">
        <v>90</v>
      </c>
      <c r="BA38" s="1" t="s">
        <v>90</v>
      </c>
      <c r="BB38" s="1" t="s">
        <v>90</v>
      </c>
      <c r="BC38" s="1" t="s">
        <v>90</v>
      </c>
      <c r="BD38" s="1" t="s">
        <v>90</v>
      </c>
      <c r="BE38" s="1" t="s">
        <v>90</v>
      </c>
      <c r="BF38" s="1" t="s">
        <v>90</v>
      </c>
      <c r="BG38" s="1" t="s">
        <v>90</v>
      </c>
      <c r="BH38" s="1" t="s">
        <v>90</v>
      </c>
      <c r="BI38" s="1" t="s">
        <v>90</v>
      </c>
      <c r="BJ38" s="1" t="s">
        <v>90</v>
      </c>
      <c r="BK38" s="1" t="s">
        <v>90</v>
      </c>
      <c r="BL38" s="1" t="s">
        <v>90</v>
      </c>
      <c r="BM38" s="1" t="s">
        <v>90</v>
      </c>
      <c r="BN38" s="1" t="s">
        <v>90</v>
      </c>
      <c r="BO38" s="1" t="s">
        <v>90</v>
      </c>
      <c r="BP38" s="1" t="s">
        <v>90</v>
      </c>
      <c r="BQ38" s="1" t="s">
        <v>90</v>
      </c>
      <c r="BR38" s="1" t="s">
        <v>90</v>
      </c>
      <c r="BS38" s="1" t="s">
        <v>90</v>
      </c>
      <c r="BT38" s="1" t="s">
        <v>90</v>
      </c>
      <c r="BU38" s="1" t="s">
        <v>90</v>
      </c>
      <c r="BV38" s="1" t="s">
        <v>90</v>
      </c>
    </row>
    <row r="39" spans="1:74" x14ac:dyDescent="0.25">
      <c r="A39"/>
      <c r="J39" s="6" t="s">
        <v>59</v>
      </c>
      <c r="K39" s="1" t="s">
        <v>90</v>
      </c>
      <c r="L39" s="1" t="s">
        <v>90</v>
      </c>
      <c r="M39" s="1" t="s">
        <v>90</v>
      </c>
      <c r="N39" s="1" t="s">
        <v>90</v>
      </c>
      <c r="O39" s="1" t="s">
        <v>90</v>
      </c>
      <c r="P39" s="1" t="s">
        <v>90</v>
      </c>
      <c r="Q39" s="1" t="s">
        <v>90</v>
      </c>
      <c r="R39" s="1" t="s">
        <v>90</v>
      </c>
      <c r="S39" s="1" t="s">
        <v>90</v>
      </c>
      <c r="T39" s="1" t="s">
        <v>90</v>
      </c>
      <c r="U39" s="1" t="s">
        <v>90</v>
      </c>
      <c r="V39" s="1" t="s">
        <v>90</v>
      </c>
      <c r="W39" s="1" t="s">
        <v>90</v>
      </c>
      <c r="X39" s="1" t="s">
        <v>90</v>
      </c>
      <c r="Y39" s="1" t="s">
        <v>90</v>
      </c>
      <c r="Z39" s="1" t="s">
        <v>90</v>
      </c>
      <c r="AA39" s="1" t="s">
        <v>90</v>
      </c>
      <c r="AB39" s="1" t="s">
        <v>90</v>
      </c>
      <c r="AC39" s="1" t="s">
        <v>90</v>
      </c>
      <c r="AD39" s="1" t="s">
        <v>90</v>
      </c>
      <c r="AE39" s="1" t="s">
        <v>90</v>
      </c>
      <c r="AF39" s="1" t="s">
        <v>90</v>
      </c>
      <c r="AG39" s="1" t="s">
        <v>90</v>
      </c>
      <c r="AH39" s="1" t="s">
        <v>90</v>
      </c>
      <c r="AI39" s="1" t="s">
        <v>90</v>
      </c>
      <c r="AJ39" s="1" t="s">
        <v>90</v>
      </c>
      <c r="AK39" s="1" t="s">
        <v>90</v>
      </c>
      <c r="AL39" s="1" t="s">
        <v>90</v>
      </c>
      <c r="AM39" s="1" t="s">
        <v>90</v>
      </c>
      <c r="AN39" s="1" t="s">
        <v>90</v>
      </c>
      <c r="AO39" s="1" t="s">
        <v>90</v>
      </c>
      <c r="AP39" s="1" t="s">
        <v>90</v>
      </c>
      <c r="AQ39" s="1" t="s">
        <v>90</v>
      </c>
      <c r="AR39" s="1">
        <v>1</v>
      </c>
      <c r="AS39" s="1" t="s">
        <v>90</v>
      </c>
      <c r="AT39" s="1" t="s">
        <v>90</v>
      </c>
      <c r="AU39" s="1" t="s">
        <v>90</v>
      </c>
      <c r="AV39" s="1" t="s">
        <v>90</v>
      </c>
      <c r="AW39" s="1" t="s">
        <v>90</v>
      </c>
      <c r="AX39" s="1" t="s">
        <v>90</v>
      </c>
      <c r="AY39" s="1" t="s">
        <v>90</v>
      </c>
      <c r="AZ39" s="1" t="s">
        <v>90</v>
      </c>
      <c r="BA39" s="1" t="s">
        <v>90</v>
      </c>
      <c r="BB39" s="1" t="s">
        <v>90</v>
      </c>
      <c r="BC39" s="1" t="s">
        <v>90</v>
      </c>
      <c r="BD39" s="1" t="s">
        <v>90</v>
      </c>
      <c r="BE39" s="1" t="s">
        <v>90</v>
      </c>
      <c r="BF39" s="1" t="s">
        <v>90</v>
      </c>
      <c r="BG39" s="1" t="s">
        <v>90</v>
      </c>
      <c r="BH39" s="1" t="s">
        <v>90</v>
      </c>
      <c r="BI39" s="1" t="s">
        <v>90</v>
      </c>
      <c r="BJ39" s="1" t="s">
        <v>90</v>
      </c>
      <c r="BK39" s="1" t="s">
        <v>90</v>
      </c>
      <c r="BL39" s="1" t="s">
        <v>90</v>
      </c>
      <c r="BM39" s="1" t="s">
        <v>90</v>
      </c>
      <c r="BN39" s="1" t="s">
        <v>90</v>
      </c>
      <c r="BO39" s="1" t="s">
        <v>90</v>
      </c>
      <c r="BP39" s="1" t="s">
        <v>90</v>
      </c>
      <c r="BQ39" s="1" t="s">
        <v>90</v>
      </c>
      <c r="BR39" s="1" t="s">
        <v>90</v>
      </c>
      <c r="BS39" s="1" t="s">
        <v>90</v>
      </c>
      <c r="BT39" s="1" t="s">
        <v>90</v>
      </c>
      <c r="BU39" s="1" t="s">
        <v>90</v>
      </c>
      <c r="BV39" s="1" t="s">
        <v>90</v>
      </c>
    </row>
    <row r="40" spans="1:74" x14ac:dyDescent="0.25">
      <c r="A40"/>
      <c r="J40" s="6" t="s">
        <v>60</v>
      </c>
      <c r="K40" s="1" t="s">
        <v>90</v>
      </c>
      <c r="L40" s="1" t="s">
        <v>90</v>
      </c>
      <c r="M40" s="1" t="s">
        <v>90</v>
      </c>
      <c r="N40" s="1" t="s">
        <v>90</v>
      </c>
      <c r="O40" s="1" t="s">
        <v>90</v>
      </c>
      <c r="P40" s="1" t="s">
        <v>90</v>
      </c>
      <c r="Q40" s="1" t="s">
        <v>90</v>
      </c>
      <c r="R40" s="1" t="s">
        <v>90</v>
      </c>
      <c r="S40" s="1" t="s">
        <v>90</v>
      </c>
      <c r="T40" s="1" t="s">
        <v>90</v>
      </c>
      <c r="U40" s="1" t="s">
        <v>90</v>
      </c>
      <c r="V40" s="1" t="s">
        <v>90</v>
      </c>
      <c r="W40" s="1" t="s">
        <v>90</v>
      </c>
      <c r="X40" s="1" t="s">
        <v>90</v>
      </c>
      <c r="Y40" s="1" t="s">
        <v>90</v>
      </c>
      <c r="Z40" s="1" t="s">
        <v>90</v>
      </c>
      <c r="AA40" s="1" t="s">
        <v>90</v>
      </c>
      <c r="AB40" s="1" t="s">
        <v>90</v>
      </c>
      <c r="AC40" s="1" t="s">
        <v>90</v>
      </c>
      <c r="AD40" s="1" t="s">
        <v>90</v>
      </c>
      <c r="AE40" s="1" t="s">
        <v>90</v>
      </c>
      <c r="AF40" s="1" t="s">
        <v>90</v>
      </c>
      <c r="AG40" s="1" t="s">
        <v>90</v>
      </c>
      <c r="AH40" s="1" t="s">
        <v>90</v>
      </c>
      <c r="AI40" s="1" t="s">
        <v>90</v>
      </c>
      <c r="AJ40" s="1" t="s">
        <v>90</v>
      </c>
      <c r="AK40" s="1" t="s">
        <v>90</v>
      </c>
      <c r="AL40" s="1" t="s">
        <v>90</v>
      </c>
      <c r="AM40" s="1" t="s">
        <v>90</v>
      </c>
      <c r="AN40" s="1" t="s">
        <v>90</v>
      </c>
      <c r="AO40" s="1" t="s">
        <v>90</v>
      </c>
      <c r="AP40" s="1" t="s">
        <v>90</v>
      </c>
      <c r="AQ40" s="1" t="s">
        <v>90</v>
      </c>
      <c r="AR40" s="1" t="s">
        <v>90</v>
      </c>
      <c r="AS40" s="1">
        <v>1</v>
      </c>
      <c r="AT40" s="1" t="s">
        <v>90</v>
      </c>
      <c r="AU40" s="1" t="s">
        <v>90</v>
      </c>
      <c r="AV40" s="1" t="s">
        <v>90</v>
      </c>
      <c r="AW40" s="1" t="s">
        <v>90</v>
      </c>
      <c r="AX40" s="1" t="s">
        <v>90</v>
      </c>
      <c r="AY40" s="1" t="s">
        <v>90</v>
      </c>
      <c r="AZ40" s="1" t="s">
        <v>90</v>
      </c>
      <c r="BA40" s="1" t="s">
        <v>90</v>
      </c>
      <c r="BB40" s="1" t="s">
        <v>90</v>
      </c>
      <c r="BC40" s="1" t="s">
        <v>90</v>
      </c>
      <c r="BD40" s="1" t="s">
        <v>90</v>
      </c>
      <c r="BE40" s="1" t="s">
        <v>90</v>
      </c>
      <c r="BF40" s="1" t="s">
        <v>90</v>
      </c>
      <c r="BG40" s="1" t="s">
        <v>90</v>
      </c>
      <c r="BH40" s="1" t="s">
        <v>90</v>
      </c>
      <c r="BI40" s="1" t="s">
        <v>90</v>
      </c>
      <c r="BJ40" s="1" t="s">
        <v>90</v>
      </c>
      <c r="BK40" s="1" t="s">
        <v>90</v>
      </c>
      <c r="BL40" s="1" t="s">
        <v>90</v>
      </c>
      <c r="BM40" s="1" t="s">
        <v>90</v>
      </c>
      <c r="BN40" s="1" t="s">
        <v>90</v>
      </c>
      <c r="BO40" s="1" t="s">
        <v>90</v>
      </c>
      <c r="BP40" s="1" t="s">
        <v>90</v>
      </c>
      <c r="BQ40" s="1" t="s">
        <v>90</v>
      </c>
      <c r="BR40" s="1" t="s">
        <v>90</v>
      </c>
      <c r="BS40" s="1" t="s">
        <v>90</v>
      </c>
      <c r="BT40" s="1" t="s">
        <v>90</v>
      </c>
      <c r="BU40" s="1" t="s">
        <v>90</v>
      </c>
      <c r="BV40" s="1" t="s">
        <v>90</v>
      </c>
    </row>
    <row r="41" spans="1:74" x14ac:dyDescent="0.25">
      <c r="A41"/>
      <c r="J41" s="6" t="s">
        <v>61</v>
      </c>
      <c r="K41" s="1" t="s">
        <v>90</v>
      </c>
      <c r="L41" s="1" t="s">
        <v>90</v>
      </c>
      <c r="M41" s="1" t="s">
        <v>90</v>
      </c>
      <c r="N41" s="1" t="s">
        <v>90</v>
      </c>
      <c r="O41" s="1" t="s">
        <v>90</v>
      </c>
      <c r="P41" s="1" t="s">
        <v>90</v>
      </c>
      <c r="Q41" s="1" t="s">
        <v>90</v>
      </c>
      <c r="R41" s="1" t="s">
        <v>90</v>
      </c>
      <c r="S41" s="1" t="s">
        <v>90</v>
      </c>
      <c r="T41" s="1" t="s">
        <v>90</v>
      </c>
      <c r="U41" s="1" t="s">
        <v>90</v>
      </c>
      <c r="V41" s="1" t="s">
        <v>90</v>
      </c>
      <c r="W41" s="1" t="s">
        <v>90</v>
      </c>
      <c r="X41" s="1" t="s">
        <v>90</v>
      </c>
      <c r="Y41" s="1" t="s">
        <v>90</v>
      </c>
      <c r="Z41" s="1" t="s">
        <v>90</v>
      </c>
      <c r="AA41" s="1" t="s">
        <v>90</v>
      </c>
      <c r="AB41" s="1" t="s">
        <v>90</v>
      </c>
      <c r="AC41" s="1" t="s">
        <v>90</v>
      </c>
      <c r="AD41" s="1" t="s">
        <v>90</v>
      </c>
      <c r="AE41" s="1" t="s">
        <v>90</v>
      </c>
      <c r="AF41" s="1" t="s">
        <v>90</v>
      </c>
      <c r="AG41" s="1" t="s">
        <v>90</v>
      </c>
      <c r="AH41" s="1" t="s">
        <v>90</v>
      </c>
      <c r="AI41" s="1" t="s">
        <v>90</v>
      </c>
      <c r="AJ41" s="1" t="s">
        <v>90</v>
      </c>
      <c r="AK41" s="1" t="s">
        <v>90</v>
      </c>
      <c r="AL41" s="1" t="s">
        <v>90</v>
      </c>
      <c r="AM41" s="1" t="s">
        <v>90</v>
      </c>
      <c r="AN41" s="1" t="s">
        <v>90</v>
      </c>
      <c r="AO41" s="1" t="s">
        <v>90</v>
      </c>
      <c r="AP41" s="1" t="s">
        <v>90</v>
      </c>
      <c r="AQ41" s="1" t="s">
        <v>90</v>
      </c>
      <c r="AR41" s="1" t="s">
        <v>90</v>
      </c>
      <c r="AS41" s="1" t="s">
        <v>90</v>
      </c>
      <c r="AT41" s="1">
        <v>1</v>
      </c>
      <c r="AU41" s="1" t="s">
        <v>90</v>
      </c>
      <c r="AV41" s="1" t="s">
        <v>90</v>
      </c>
      <c r="AW41" s="1" t="s">
        <v>90</v>
      </c>
      <c r="AX41" s="1" t="s">
        <v>90</v>
      </c>
      <c r="AY41" s="1" t="s">
        <v>90</v>
      </c>
      <c r="AZ41" s="1" t="s">
        <v>90</v>
      </c>
      <c r="BA41" s="1" t="s">
        <v>90</v>
      </c>
      <c r="BB41" s="1" t="s">
        <v>90</v>
      </c>
      <c r="BC41" s="1" t="s">
        <v>90</v>
      </c>
      <c r="BD41" s="1" t="s">
        <v>90</v>
      </c>
      <c r="BE41" s="1" t="s">
        <v>90</v>
      </c>
      <c r="BF41" s="1" t="s">
        <v>90</v>
      </c>
      <c r="BG41" s="1" t="s">
        <v>90</v>
      </c>
      <c r="BH41" s="1" t="s">
        <v>90</v>
      </c>
      <c r="BI41" s="1" t="s">
        <v>90</v>
      </c>
      <c r="BJ41" s="1" t="s">
        <v>90</v>
      </c>
      <c r="BK41" s="1" t="s">
        <v>90</v>
      </c>
      <c r="BL41" s="1" t="s">
        <v>90</v>
      </c>
      <c r="BM41" s="1" t="s">
        <v>90</v>
      </c>
      <c r="BN41" s="1" t="s">
        <v>90</v>
      </c>
      <c r="BO41" s="1" t="s">
        <v>90</v>
      </c>
      <c r="BP41" s="1" t="s">
        <v>90</v>
      </c>
      <c r="BQ41" s="1" t="s">
        <v>90</v>
      </c>
      <c r="BR41" s="1" t="s">
        <v>90</v>
      </c>
      <c r="BS41" s="1" t="s">
        <v>90</v>
      </c>
      <c r="BT41" s="1" t="s">
        <v>90</v>
      </c>
      <c r="BU41" s="1" t="s">
        <v>90</v>
      </c>
      <c r="BV41" s="1" t="s">
        <v>90</v>
      </c>
    </row>
    <row r="42" spans="1:74" x14ac:dyDescent="0.25">
      <c r="A42"/>
      <c r="J42" s="6" t="s">
        <v>62</v>
      </c>
      <c r="K42" s="1" t="s">
        <v>90</v>
      </c>
      <c r="L42" s="1" t="s">
        <v>90</v>
      </c>
      <c r="M42" s="1" t="s">
        <v>90</v>
      </c>
      <c r="N42" s="1" t="s">
        <v>90</v>
      </c>
      <c r="O42" s="1" t="s">
        <v>90</v>
      </c>
      <c r="P42" s="1" t="s">
        <v>90</v>
      </c>
      <c r="Q42" s="1" t="s">
        <v>90</v>
      </c>
      <c r="R42" s="1" t="s">
        <v>90</v>
      </c>
      <c r="S42" s="1" t="s">
        <v>90</v>
      </c>
      <c r="T42" s="1" t="s">
        <v>90</v>
      </c>
      <c r="U42" s="1" t="s">
        <v>90</v>
      </c>
      <c r="V42" s="1" t="s">
        <v>90</v>
      </c>
      <c r="W42" s="1" t="s">
        <v>90</v>
      </c>
      <c r="X42" s="1" t="s">
        <v>90</v>
      </c>
      <c r="Y42" s="1" t="s">
        <v>90</v>
      </c>
      <c r="Z42" s="1" t="s">
        <v>90</v>
      </c>
      <c r="AA42" s="1" t="s">
        <v>90</v>
      </c>
      <c r="AB42" s="1" t="s">
        <v>90</v>
      </c>
      <c r="AC42" s="1" t="s">
        <v>90</v>
      </c>
      <c r="AD42" s="1" t="s">
        <v>90</v>
      </c>
      <c r="AE42" s="1" t="s">
        <v>90</v>
      </c>
      <c r="AF42" s="1" t="s">
        <v>90</v>
      </c>
      <c r="AG42" s="1" t="s">
        <v>90</v>
      </c>
      <c r="AH42" s="1" t="s">
        <v>90</v>
      </c>
      <c r="AI42" s="1" t="s">
        <v>90</v>
      </c>
      <c r="AJ42" s="1" t="s">
        <v>90</v>
      </c>
      <c r="AK42" s="1" t="s">
        <v>90</v>
      </c>
      <c r="AL42" s="1" t="s">
        <v>90</v>
      </c>
      <c r="AM42" s="1" t="s">
        <v>90</v>
      </c>
      <c r="AN42" s="1" t="s">
        <v>90</v>
      </c>
      <c r="AO42" s="1" t="s">
        <v>90</v>
      </c>
      <c r="AP42" s="1" t="s">
        <v>90</v>
      </c>
      <c r="AQ42" s="1" t="s">
        <v>90</v>
      </c>
      <c r="AR42" s="1" t="s">
        <v>90</v>
      </c>
      <c r="AS42" s="1" t="s">
        <v>90</v>
      </c>
      <c r="AT42" s="1" t="s">
        <v>90</v>
      </c>
      <c r="AU42" s="1">
        <v>1</v>
      </c>
      <c r="AV42" s="1" t="s">
        <v>90</v>
      </c>
      <c r="AW42" s="1" t="s">
        <v>90</v>
      </c>
      <c r="AX42" s="1" t="s">
        <v>90</v>
      </c>
      <c r="AY42" s="1" t="s">
        <v>90</v>
      </c>
      <c r="AZ42" s="1" t="s">
        <v>90</v>
      </c>
      <c r="BA42" s="1" t="s">
        <v>90</v>
      </c>
      <c r="BB42" s="1" t="s">
        <v>90</v>
      </c>
      <c r="BC42" s="1" t="s">
        <v>90</v>
      </c>
      <c r="BD42" s="1" t="s">
        <v>90</v>
      </c>
      <c r="BE42" s="1" t="s">
        <v>90</v>
      </c>
      <c r="BF42" s="1" t="s">
        <v>90</v>
      </c>
      <c r="BG42" s="1" t="s">
        <v>90</v>
      </c>
      <c r="BH42" s="1" t="s">
        <v>90</v>
      </c>
      <c r="BI42" s="1" t="s">
        <v>90</v>
      </c>
      <c r="BJ42" s="1" t="s">
        <v>90</v>
      </c>
      <c r="BK42" s="1" t="s">
        <v>90</v>
      </c>
      <c r="BL42" s="1" t="s">
        <v>90</v>
      </c>
      <c r="BM42" s="1" t="s">
        <v>90</v>
      </c>
      <c r="BN42" s="1" t="s">
        <v>90</v>
      </c>
      <c r="BO42" s="1" t="s">
        <v>90</v>
      </c>
      <c r="BP42" s="1" t="s">
        <v>90</v>
      </c>
      <c r="BQ42" s="1" t="s">
        <v>90</v>
      </c>
      <c r="BR42" s="1" t="s">
        <v>90</v>
      </c>
      <c r="BS42" s="1" t="s">
        <v>90</v>
      </c>
      <c r="BT42" s="1" t="s">
        <v>90</v>
      </c>
      <c r="BU42" s="1" t="s">
        <v>90</v>
      </c>
      <c r="BV42" s="1" t="s">
        <v>90</v>
      </c>
    </row>
    <row r="43" spans="1:74" x14ac:dyDescent="0.25">
      <c r="A43"/>
      <c r="J43" s="6" t="s">
        <v>63</v>
      </c>
      <c r="K43" s="1" t="s">
        <v>90</v>
      </c>
      <c r="L43" s="1" t="s">
        <v>90</v>
      </c>
      <c r="M43" s="1" t="s">
        <v>90</v>
      </c>
      <c r="N43" s="1" t="s">
        <v>90</v>
      </c>
      <c r="O43" s="1" t="s">
        <v>90</v>
      </c>
      <c r="P43" s="1" t="s">
        <v>90</v>
      </c>
      <c r="Q43" s="1" t="s">
        <v>90</v>
      </c>
      <c r="R43" s="1" t="s">
        <v>90</v>
      </c>
      <c r="S43" s="1" t="s">
        <v>90</v>
      </c>
      <c r="T43" s="1" t="s">
        <v>90</v>
      </c>
      <c r="U43" s="1" t="s">
        <v>90</v>
      </c>
      <c r="V43" s="1" t="s">
        <v>90</v>
      </c>
      <c r="W43" s="1" t="s">
        <v>90</v>
      </c>
      <c r="X43" s="1" t="s">
        <v>90</v>
      </c>
      <c r="Y43" s="1" t="s">
        <v>90</v>
      </c>
      <c r="Z43" s="1" t="s">
        <v>90</v>
      </c>
      <c r="AA43" s="1" t="s">
        <v>90</v>
      </c>
      <c r="AB43" s="1" t="s">
        <v>90</v>
      </c>
      <c r="AC43" s="1" t="s">
        <v>90</v>
      </c>
      <c r="AD43" s="1" t="s">
        <v>90</v>
      </c>
      <c r="AE43" s="1" t="s">
        <v>90</v>
      </c>
      <c r="AF43" s="1" t="s">
        <v>90</v>
      </c>
      <c r="AG43" s="1" t="s">
        <v>90</v>
      </c>
      <c r="AH43" s="1" t="s">
        <v>90</v>
      </c>
      <c r="AI43" s="1" t="s">
        <v>90</v>
      </c>
      <c r="AJ43" s="1" t="s">
        <v>90</v>
      </c>
      <c r="AK43" s="1" t="s">
        <v>90</v>
      </c>
      <c r="AL43" s="1" t="s">
        <v>90</v>
      </c>
      <c r="AM43" s="1" t="s">
        <v>90</v>
      </c>
      <c r="AN43" s="1" t="s">
        <v>90</v>
      </c>
      <c r="AO43" s="1" t="s">
        <v>90</v>
      </c>
      <c r="AP43" s="1" t="s">
        <v>90</v>
      </c>
      <c r="AQ43" s="1" t="s">
        <v>90</v>
      </c>
      <c r="AR43" s="1" t="s">
        <v>90</v>
      </c>
      <c r="AS43" s="1" t="s">
        <v>90</v>
      </c>
      <c r="AT43" s="1" t="s">
        <v>90</v>
      </c>
      <c r="AU43" s="1" t="s">
        <v>90</v>
      </c>
      <c r="AV43" s="1">
        <v>1</v>
      </c>
      <c r="AW43" s="1" t="s">
        <v>90</v>
      </c>
      <c r="AX43" s="1" t="s">
        <v>90</v>
      </c>
      <c r="AY43" s="1" t="s">
        <v>90</v>
      </c>
      <c r="AZ43" s="1" t="s">
        <v>90</v>
      </c>
      <c r="BA43" s="1" t="s">
        <v>90</v>
      </c>
      <c r="BB43" s="1" t="s">
        <v>90</v>
      </c>
      <c r="BC43" s="1" t="s">
        <v>90</v>
      </c>
      <c r="BD43" s="1" t="s">
        <v>90</v>
      </c>
      <c r="BE43" s="1" t="s">
        <v>90</v>
      </c>
      <c r="BF43" s="1" t="s">
        <v>90</v>
      </c>
      <c r="BG43" s="1" t="s">
        <v>90</v>
      </c>
      <c r="BH43" s="1" t="s">
        <v>90</v>
      </c>
      <c r="BI43" s="1" t="s">
        <v>90</v>
      </c>
      <c r="BJ43" s="1" t="s">
        <v>90</v>
      </c>
      <c r="BK43" s="1" t="s">
        <v>90</v>
      </c>
      <c r="BL43" s="1" t="s">
        <v>90</v>
      </c>
      <c r="BM43" s="1" t="s">
        <v>90</v>
      </c>
      <c r="BN43" s="1" t="s">
        <v>90</v>
      </c>
      <c r="BO43" s="1" t="s">
        <v>90</v>
      </c>
      <c r="BP43" s="1" t="s">
        <v>90</v>
      </c>
      <c r="BQ43" s="1" t="s">
        <v>90</v>
      </c>
      <c r="BR43" s="1" t="s">
        <v>90</v>
      </c>
      <c r="BS43" s="1" t="s">
        <v>90</v>
      </c>
      <c r="BT43" s="1" t="s">
        <v>90</v>
      </c>
      <c r="BU43" s="1" t="s">
        <v>90</v>
      </c>
      <c r="BV43" s="1" t="s">
        <v>90</v>
      </c>
    </row>
    <row r="44" spans="1:74" x14ac:dyDescent="0.25">
      <c r="A44"/>
      <c r="J44" s="6" t="s">
        <v>64</v>
      </c>
      <c r="K44" s="1" t="s">
        <v>90</v>
      </c>
      <c r="L44" s="1" t="s">
        <v>90</v>
      </c>
      <c r="M44" s="1" t="s">
        <v>90</v>
      </c>
      <c r="N44" s="1" t="s">
        <v>90</v>
      </c>
      <c r="O44" s="1" t="s">
        <v>90</v>
      </c>
      <c r="P44" s="1" t="s">
        <v>90</v>
      </c>
      <c r="Q44" s="1" t="s">
        <v>90</v>
      </c>
      <c r="R44" s="1" t="s">
        <v>90</v>
      </c>
      <c r="S44" s="1" t="s">
        <v>90</v>
      </c>
      <c r="T44" s="1" t="s">
        <v>90</v>
      </c>
      <c r="U44" s="1" t="s">
        <v>90</v>
      </c>
      <c r="V44" s="1" t="s">
        <v>90</v>
      </c>
      <c r="W44" s="1" t="s">
        <v>90</v>
      </c>
      <c r="X44" s="1" t="s">
        <v>90</v>
      </c>
      <c r="Y44" s="1" t="s">
        <v>90</v>
      </c>
      <c r="Z44" s="1" t="s">
        <v>90</v>
      </c>
      <c r="AA44" s="1" t="s">
        <v>90</v>
      </c>
      <c r="AB44" s="1" t="s">
        <v>90</v>
      </c>
      <c r="AC44" s="1" t="s">
        <v>90</v>
      </c>
      <c r="AD44" s="1" t="s">
        <v>90</v>
      </c>
      <c r="AE44" s="1" t="s">
        <v>90</v>
      </c>
      <c r="AF44" s="1" t="s">
        <v>90</v>
      </c>
      <c r="AG44" s="1" t="s">
        <v>90</v>
      </c>
      <c r="AH44" s="1" t="s">
        <v>90</v>
      </c>
      <c r="AI44" s="1" t="s">
        <v>90</v>
      </c>
      <c r="AJ44" s="1" t="s">
        <v>90</v>
      </c>
      <c r="AK44" s="1" t="s">
        <v>90</v>
      </c>
      <c r="AL44" s="1" t="s">
        <v>90</v>
      </c>
      <c r="AM44" s="1" t="s">
        <v>90</v>
      </c>
      <c r="AN44" s="1" t="s">
        <v>90</v>
      </c>
      <c r="AO44" s="1" t="s">
        <v>90</v>
      </c>
      <c r="AP44" s="1" t="s">
        <v>90</v>
      </c>
      <c r="AQ44" s="1" t="s">
        <v>90</v>
      </c>
      <c r="AR44" s="1" t="s">
        <v>90</v>
      </c>
      <c r="AS44" s="1" t="s">
        <v>90</v>
      </c>
      <c r="AT44" s="1" t="s">
        <v>90</v>
      </c>
      <c r="AU44" s="1" t="s">
        <v>90</v>
      </c>
      <c r="AV44" s="1" t="s">
        <v>90</v>
      </c>
      <c r="AW44" s="1">
        <v>1</v>
      </c>
      <c r="AX44" s="1" t="s">
        <v>90</v>
      </c>
      <c r="AY44" s="1" t="s">
        <v>90</v>
      </c>
      <c r="AZ44" s="1" t="s">
        <v>90</v>
      </c>
      <c r="BA44" s="1" t="s">
        <v>90</v>
      </c>
      <c r="BB44" s="1" t="s">
        <v>90</v>
      </c>
      <c r="BC44" s="1" t="s">
        <v>90</v>
      </c>
      <c r="BD44" s="1" t="s">
        <v>90</v>
      </c>
      <c r="BE44" s="1" t="s">
        <v>90</v>
      </c>
      <c r="BF44" s="1" t="s">
        <v>90</v>
      </c>
      <c r="BG44" s="1" t="s">
        <v>90</v>
      </c>
      <c r="BH44" s="1" t="s">
        <v>90</v>
      </c>
      <c r="BI44" s="1" t="s">
        <v>90</v>
      </c>
      <c r="BJ44" s="1" t="s">
        <v>90</v>
      </c>
      <c r="BK44" s="1" t="s">
        <v>90</v>
      </c>
      <c r="BL44" s="1" t="s">
        <v>90</v>
      </c>
      <c r="BM44" s="1" t="s">
        <v>90</v>
      </c>
      <c r="BN44" s="1" t="s">
        <v>90</v>
      </c>
      <c r="BO44" s="1" t="s">
        <v>90</v>
      </c>
      <c r="BP44" s="1" t="s">
        <v>90</v>
      </c>
      <c r="BQ44" s="1" t="s">
        <v>90</v>
      </c>
      <c r="BR44" s="1" t="s">
        <v>90</v>
      </c>
      <c r="BS44" s="1" t="s">
        <v>90</v>
      </c>
      <c r="BT44" s="1" t="s">
        <v>90</v>
      </c>
      <c r="BU44" s="1" t="s">
        <v>90</v>
      </c>
      <c r="BV44" s="1" t="s">
        <v>90</v>
      </c>
    </row>
    <row r="45" spans="1:74" x14ac:dyDescent="0.25">
      <c r="A45"/>
      <c r="J45" s="6" t="s">
        <v>65</v>
      </c>
      <c r="K45" s="1" t="s">
        <v>90</v>
      </c>
      <c r="L45" s="1" t="s">
        <v>90</v>
      </c>
      <c r="M45" s="1" t="s">
        <v>90</v>
      </c>
      <c r="N45" s="1" t="s">
        <v>90</v>
      </c>
      <c r="O45" s="1" t="s">
        <v>90</v>
      </c>
      <c r="P45" s="1" t="s">
        <v>90</v>
      </c>
      <c r="Q45" s="1" t="s">
        <v>90</v>
      </c>
      <c r="R45" s="1" t="s">
        <v>90</v>
      </c>
      <c r="S45" s="1" t="s">
        <v>90</v>
      </c>
      <c r="T45" s="1" t="s">
        <v>90</v>
      </c>
      <c r="U45" s="1" t="s">
        <v>90</v>
      </c>
      <c r="V45" s="1" t="s">
        <v>90</v>
      </c>
      <c r="W45" s="1" t="s">
        <v>90</v>
      </c>
      <c r="X45" s="1" t="s">
        <v>90</v>
      </c>
      <c r="Y45" s="1" t="s">
        <v>90</v>
      </c>
      <c r="Z45" s="1" t="s">
        <v>90</v>
      </c>
      <c r="AA45" s="1" t="s">
        <v>90</v>
      </c>
      <c r="AB45" s="1" t="s">
        <v>90</v>
      </c>
      <c r="AC45" s="1" t="s">
        <v>90</v>
      </c>
      <c r="AD45" s="1" t="s">
        <v>90</v>
      </c>
      <c r="AE45" s="1" t="s">
        <v>90</v>
      </c>
      <c r="AF45" s="1" t="s">
        <v>90</v>
      </c>
      <c r="AG45" s="1" t="s">
        <v>90</v>
      </c>
      <c r="AH45" s="1" t="s">
        <v>90</v>
      </c>
      <c r="AI45" s="1" t="s">
        <v>90</v>
      </c>
      <c r="AJ45" s="1" t="s">
        <v>90</v>
      </c>
      <c r="AK45" s="1" t="s">
        <v>90</v>
      </c>
      <c r="AL45" s="1" t="s">
        <v>90</v>
      </c>
      <c r="AM45" s="1" t="s">
        <v>90</v>
      </c>
      <c r="AN45" s="1" t="s">
        <v>90</v>
      </c>
      <c r="AO45" s="1" t="s">
        <v>90</v>
      </c>
      <c r="AP45" s="1" t="s">
        <v>90</v>
      </c>
      <c r="AQ45" s="1" t="s">
        <v>90</v>
      </c>
      <c r="AR45" s="1" t="s">
        <v>90</v>
      </c>
      <c r="AS45" s="1" t="s">
        <v>90</v>
      </c>
      <c r="AT45" s="1" t="s">
        <v>90</v>
      </c>
      <c r="AU45" s="1" t="s">
        <v>90</v>
      </c>
      <c r="AV45" s="1" t="s">
        <v>90</v>
      </c>
      <c r="AW45" s="1" t="s">
        <v>90</v>
      </c>
      <c r="AX45" s="1">
        <v>1</v>
      </c>
      <c r="AY45" s="1" t="s">
        <v>90</v>
      </c>
      <c r="AZ45" s="1" t="s">
        <v>90</v>
      </c>
      <c r="BA45" s="1" t="s">
        <v>90</v>
      </c>
      <c r="BB45" s="1" t="s">
        <v>90</v>
      </c>
      <c r="BC45" s="1" t="s">
        <v>90</v>
      </c>
      <c r="BD45" s="1" t="s">
        <v>90</v>
      </c>
      <c r="BE45" s="1" t="s">
        <v>90</v>
      </c>
      <c r="BF45" s="1" t="s">
        <v>90</v>
      </c>
      <c r="BG45" s="1" t="s">
        <v>90</v>
      </c>
      <c r="BH45" s="1" t="s">
        <v>90</v>
      </c>
      <c r="BI45" s="1" t="s">
        <v>90</v>
      </c>
      <c r="BJ45" s="1" t="s">
        <v>90</v>
      </c>
      <c r="BK45" s="1" t="s">
        <v>90</v>
      </c>
      <c r="BL45" s="1" t="s">
        <v>90</v>
      </c>
      <c r="BM45" s="1" t="s">
        <v>90</v>
      </c>
      <c r="BN45" s="1" t="s">
        <v>90</v>
      </c>
      <c r="BO45" s="1" t="s">
        <v>90</v>
      </c>
      <c r="BP45" s="1" t="s">
        <v>90</v>
      </c>
      <c r="BQ45" s="1" t="s">
        <v>90</v>
      </c>
      <c r="BR45" s="1" t="s">
        <v>90</v>
      </c>
      <c r="BS45" s="1" t="s">
        <v>90</v>
      </c>
      <c r="BT45" s="1" t="s">
        <v>90</v>
      </c>
      <c r="BU45" s="1" t="s">
        <v>90</v>
      </c>
      <c r="BV45" s="1" t="s">
        <v>90</v>
      </c>
    </row>
    <row r="46" spans="1:74" x14ac:dyDescent="0.25">
      <c r="A46"/>
      <c r="J46" s="6" t="s">
        <v>66</v>
      </c>
      <c r="K46" s="1" t="s">
        <v>90</v>
      </c>
      <c r="L46" s="1" t="s">
        <v>90</v>
      </c>
      <c r="M46" s="1" t="s">
        <v>90</v>
      </c>
      <c r="N46" s="1" t="s">
        <v>90</v>
      </c>
      <c r="O46" s="1" t="s">
        <v>90</v>
      </c>
      <c r="P46" s="1" t="s">
        <v>90</v>
      </c>
      <c r="Q46" s="1" t="s">
        <v>90</v>
      </c>
      <c r="R46" s="1" t="s">
        <v>90</v>
      </c>
      <c r="S46" s="1" t="s">
        <v>90</v>
      </c>
      <c r="T46" s="1" t="s">
        <v>90</v>
      </c>
      <c r="U46" s="1" t="s">
        <v>90</v>
      </c>
      <c r="V46" s="1" t="s">
        <v>90</v>
      </c>
      <c r="W46" s="1" t="s">
        <v>90</v>
      </c>
      <c r="X46" s="1" t="s">
        <v>90</v>
      </c>
      <c r="Y46" s="1" t="s">
        <v>90</v>
      </c>
      <c r="Z46" s="1" t="s">
        <v>90</v>
      </c>
      <c r="AA46" s="1" t="s">
        <v>90</v>
      </c>
      <c r="AB46" s="1" t="s">
        <v>90</v>
      </c>
      <c r="AC46" s="1" t="s">
        <v>90</v>
      </c>
      <c r="AD46" s="1" t="s">
        <v>90</v>
      </c>
      <c r="AE46" s="1" t="s">
        <v>90</v>
      </c>
      <c r="AF46" s="1" t="s">
        <v>90</v>
      </c>
      <c r="AG46" s="1" t="s">
        <v>90</v>
      </c>
      <c r="AH46" s="1" t="s">
        <v>90</v>
      </c>
      <c r="AI46" s="1" t="s">
        <v>90</v>
      </c>
      <c r="AJ46" s="1" t="s">
        <v>90</v>
      </c>
      <c r="AK46" s="1" t="s">
        <v>90</v>
      </c>
      <c r="AL46" s="1" t="s">
        <v>90</v>
      </c>
      <c r="AM46" s="1" t="s">
        <v>90</v>
      </c>
      <c r="AN46" s="1" t="s">
        <v>90</v>
      </c>
      <c r="AO46" s="1" t="s">
        <v>90</v>
      </c>
      <c r="AP46" s="1" t="s">
        <v>90</v>
      </c>
      <c r="AQ46" s="1" t="s">
        <v>90</v>
      </c>
      <c r="AR46" s="1" t="s">
        <v>90</v>
      </c>
      <c r="AS46" s="1" t="s">
        <v>90</v>
      </c>
      <c r="AT46" s="1" t="s">
        <v>90</v>
      </c>
      <c r="AU46" s="1" t="s">
        <v>90</v>
      </c>
      <c r="AV46" s="1" t="s">
        <v>90</v>
      </c>
      <c r="AW46" s="1" t="s">
        <v>90</v>
      </c>
      <c r="AX46" s="1" t="s">
        <v>90</v>
      </c>
      <c r="AY46" s="1">
        <v>1</v>
      </c>
      <c r="AZ46" s="1" t="s">
        <v>90</v>
      </c>
      <c r="BA46" s="1" t="s">
        <v>90</v>
      </c>
      <c r="BB46" s="1" t="s">
        <v>90</v>
      </c>
      <c r="BC46" s="1" t="s">
        <v>90</v>
      </c>
      <c r="BD46" s="1" t="s">
        <v>90</v>
      </c>
      <c r="BE46" s="1" t="s">
        <v>90</v>
      </c>
      <c r="BF46" s="1" t="s">
        <v>90</v>
      </c>
      <c r="BG46" s="1" t="s">
        <v>90</v>
      </c>
      <c r="BH46" s="1" t="s">
        <v>90</v>
      </c>
      <c r="BI46" s="1" t="s">
        <v>90</v>
      </c>
      <c r="BJ46" s="1" t="s">
        <v>90</v>
      </c>
      <c r="BK46" s="1" t="s">
        <v>90</v>
      </c>
      <c r="BL46" s="1" t="s">
        <v>90</v>
      </c>
      <c r="BM46" s="1" t="s">
        <v>90</v>
      </c>
      <c r="BN46" s="1" t="s">
        <v>90</v>
      </c>
      <c r="BO46" s="1" t="s">
        <v>90</v>
      </c>
      <c r="BP46" s="1" t="s">
        <v>90</v>
      </c>
      <c r="BQ46" s="1" t="s">
        <v>90</v>
      </c>
      <c r="BR46" s="1" t="s">
        <v>90</v>
      </c>
      <c r="BS46" s="1" t="s">
        <v>90</v>
      </c>
      <c r="BT46" s="1" t="s">
        <v>90</v>
      </c>
      <c r="BU46" s="1" t="s">
        <v>90</v>
      </c>
      <c r="BV46" s="1" t="s">
        <v>90</v>
      </c>
    </row>
    <row r="47" spans="1:74" x14ac:dyDescent="0.25">
      <c r="A47"/>
      <c r="J47" s="6" t="s">
        <v>67</v>
      </c>
      <c r="K47" s="1" t="s">
        <v>90</v>
      </c>
      <c r="L47" s="1" t="s">
        <v>90</v>
      </c>
      <c r="M47" s="1" t="s">
        <v>90</v>
      </c>
      <c r="N47" s="1" t="s">
        <v>90</v>
      </c>
      <c r="O47" s="1" t="s">
        <v>90</v>
      </c>
      <c r="P47" s="1" t="s">
        <v>90</v>
      </c>
      <c r="Q47" s="1" t="s">
        <v>90</v>
      </c>
      <c r="R47" s="1" t="s">
        <v>90</v>
      </c>
      <c r="S47" s="1" t="s">
        <v>90</v>
      </c>
      <c r="T47" s="1" t="s">
        <v>90</v>
      </c>
      <c r="U47" s="1" t="s">
        <v>90</v>
      </c>
      <c r="V47" s="1" t="s">
        <v>90</v>
      </c>
      <c r="W47" s="1" t="s">
        <v>90</v>
      </c>
      <c r="X47" s="1" t="s">
        <v>90</v>
      </c>
      <c r="Y47" s="1" t="s">
        <v>90</v>
      </c>
      <c r="Z47" s="1" t="s">
        <v>90</v>
      </c>
      <c r="AA47" s="1" t="s">
        <v>90</v>
      </c>
      <c r="AB47" s="1" t="s">
        <v>90</v>
      </c>
      <c r="AC47" s="1" t="s">
        <v>90</v>
      </c>
      <c r="AD47" s="1" t="s">
        <v>90</v>
      </c>
      <c r="AE47" s="1" t="s">
        <v>90</v>
      </c>
      <c r="AF47" s="1" t="s">
        <v>90</v>
      </c>
      <c r="AG47" s="1" t="s">
        <v>90</v>
      </c>
      <c r="AH47" s="1" t="s">
        <v>90</v>
      </c>
      <c r="AI47" s="1" t="s">
        <v>90</v>
      </c>
      <c r="AJ47" s="1" t="s">
        <v>90</v>
      </c>
      <c r="AK47" s="1" t="s">
        <v>90</v>
      </c>
      <c r="AL47" s="1" t="s">
        <v>90</v>
      </c>
      <c r="AM47" s="1" t="s">
        <v>90</v>
      </c>
      <c r="AN47" s="1" t="s">
        <v>90</v>
      </c>
      <c r="AO47" s="1" t="s">
        <v>90</v>
      </c>
      <c r="AP47" s="1" t="s">
        <v>90</v>
      </c>
      <c r="AQ47" s="1" t="s">
        <v>90</v>
      </c>
      <c r="AR47" s="1" t="s">
        <v>90</v>
      </c>
      <c r="AS47" s="1" t="s">
        <v>90</v>
      </c>
      <c r="AT47" s="1" t="s">
        <v>90</v>
      </c>
      <c r="AU47" s="1" t="s">
        <v>90</v>
      </c>
      <c r="AV47" s="1" t="s">
        <v>90</v>
      </c>
      <c r="AW47" s="1" t="s">
        <v>90</v>
      </c>
      <c r="AX47" s="1" t="s">
        <v>90</v>
      </c>
      <c r="AY47" s="1" t="s">
        <v>90</v>
      </c>
      <c r="AZ47" s="1">
        <v>1</v>
      </c>
      <c r="BA47" s="1" t="s">
        <v>90</v>
      </c>
      <c r="BB47" s="1" t="s">
        <v>90</v>
      </c>
      <c r="BC47" s="1" t="s">
        <v>90</v>
      </c>
      <c r="BD47" s="1" t="s">
        <v>90</v>
      </c>
      <c r="BE47" s="1" t="s">
        <v>90</v>
      </c>
      <c r="BF47" s="1" t="s">
        <v>90</v>
      </c>
      <c r="BG47" s="1" t="s">
        <v>90</v>
      </c>
      <c r="BH47" s="1" t="s">
        <v>90</v>
      </c>
      <c r="BI47" s="1" t="s">
        <v>90</v>
      </c>
      <c r="BJ47" s="1" t="s">
        <v>90</v>
      </c>
      <c r="BK47" s="1" t="s">
        <v>90</v>
      </c>
      <c r="BL47" s="1" t="s">
        <v>90</v>
      </c>
      <c r="BM47" s="1" t="s">
        <v>90</v>
      </c>
      <c r="BN47" s="1" t="s">
        <v>90</v>
      </c>
      <c r="BO47" s="1" t="s">
        <v>90</v>
      </c>
      <c r="BP47" s="1" t="s">
        <v>90</v>
      </c>
      <c r="BQ47" s="1" t="s">
        <v>90</v>
      </c>
      <c r="BR47" s="1" t="s">
        <v>90</v>
      </c>
      <c r="BS47" s="1" t="s">
        <v>90</v>
      </c>
      <c r="BT47" s="1" t="s">
        <v>90</v>
      </c>
      <c r="BU47" s="1" t="s">
        <v>90</v>
      </c>
      <c r="BV47" s="1" t="s">
        <v>90</v>
      </c>
    </row>
    <row r="48" spans="1:74" x14ac:dyDescent="0.25">
      <c r="A48"/>
      <c r="J48" s="6" t="s">
        <v>68</v>
      </c>
      <c r="K48" s="1" t="s">
        <v>90</v>
      </c>
      <c r="L48" s="1" t="s">
        <v>90</v>
      </c>
      <c r="M48" s="1" t="s">
        <v>90</v>
      </c>
      <c r="N48" s="1" t="s">
        <v>90</v>
      </c>
      <c r="O48" s="1" t="s">
        <v>90</v>
      </c>
      <c r="P48" s="1" t="s">
        <v>90</v>
      </c>
      <c r="Q48" s="1" t="s">
        <v>90</v>
      </c>
      <c r="R48" s="1" t="s">
        <v>90</v>
      </c>
      <c r="S48" s="1" t="s">
        <v>90</v>
      </c>
      <c r="T48" s="1" t="s">
        <v>90</v>
      </c>
      <c r="U48" s="1" t="s">
        <v>90</v>
      </c>
      <c r="V48" s="1" t="s">
        <v>90</v>
      </c>
      <c r="W48" s="1" t="s">
        <v>90</v>
      </c>
      <c r="X48" s="1" t="s">
        <v>90</v>
      </c>
      <c r="Y48" s="1" t="s">
        <v>90</v>
      </c>
      <c r="Z48" s="1" t="s">
        <v>90</v>
      </c>
      <c r="AA48" s="1" t="s">
        <v>90</v>
      </c>
      <c r="AB48" s="1" t="s">
        <v>90</v>
      </c>
      <c r="AC48" s="1" t="s">
        <v>90</v>
      </c>
      <c r="AD48" s="1" t="s">
        <v>90</v>
      </c>
      <c r="AE48" s="1" t="s">
        <v>90</v>
      </c>
      <c r="AF48" s="1" t="s">
        <v>90</v>
      </c>
      <c r="AG48" s="1" t="s">
        <v>90</v>
      </c>
      <c r="AH48" s="1" t="s">
        <v>90</v>
      </c>
      <c r="AI48" s="1" t="s">
        <v>90</v>
      </c>
      <c r="AJ48" s="1" t="s">
        <v>90</v>
      </c>
      <c r="AK48" s="1" t="s">
        <v>90</v>
      </c>
      <c r="AL48" s="1" t="s">
        <v>90</v>
      </c>
      <c r="AM48" s="1" t="s">
        <v>90</v>
      </c>
      <c r="AN48" s="1" t="s">
        <v>90</v>
      </c>
      <c r="AO48" s="1" t="s">
        <v>90</v>
      </c>
      <c r="AP48" s="1" t="s">
        <v>90</v>
      </c>
      <c r="AQ48" s="1" t="s">
        <v>90</v>
      </c>
      <c r="AR48" s="1" t="s">
        <v>90</v>
      </c>
      <c r="AS48" s="1" t="s">
        <v>90</v>
      </c>
      <c r="AT48" s="1" t="s">
        <v>90</v>
      </c>
      <c r="AU48" s="1" t="s">
        <v>90</v>
      </c>
      <c r="AV48" s="1" t="s">
        <v>90</v>
      </c>
      <c r="AW48" s="1" t="s">
        <v>90</v>
      </c>
      <c r="AX48" s="1" t="s">
        <v>90</v>
      </c>
      <c r="AY48" s="1" t="s">
        <v>90</v>
      </c>
      <c r="AZ48" s="1" t="s">
        <v>90</v>
      </c>
      <c r="BA48" s="1">
        <v>1</v>
      </c>
      <c r="BB48" s="1" t="s">
        <v>90</v>
      </c>
      <c r="BC48" s="1" t="s">
        <v>90</v>
      </c>
      <c r="BD48" s="1" t="s">
        <v>90</v>
      </c>
      <c r="BE48" s="1" t="s">
        <v>90</v>
      </c>
      <c r="BF48" s="1" t="s">
        <v>90</v>
      </c>
      <c r="BG48" s="1" t="s">
        <v>90</v>
      </c>
      <c r="BH48" s="1" t="s">
        <v>90</v>
      </c>
      <c r="BI48" s="1" t="s">
        <v>90</v>
      </c>
      <c r="BJ48" s="1" t="s">
        <v>90</v>
      </c>
      <c r="BK48" s="1" t="s">
        <v>90</v>
      </c>
      <c r="BL48" s="1" t="s">
        <v>90</v>
      </c>
      <c r="BM48" s="1" t="s">
        <v>90</v>
      </c>
      <c r="BN48" s="1" t="s">
        <v>90</v>
      </c>
      <c r="BO48" s="1" t="s">
        <v>90</v>
      </c>
      <c r="BP48" s="1" t="s">
        <v>90</v>
      </c>
      <c r="BQ48" s="1" t="s">
        <v>90</v>
      </c>
      <c r="BR48" s="1" t="s">
        <v>90</v>
      </c>
      <c r="BS48" s="1" t="s">
        <v>90</v>
      </c>
      <c r="BT48" s="1" t="s">
        <v>90</v>
      </c>
      <c r="BU48" s="1" t="s">
        <v>90</v>
      </c>
      <c r="BV48" s="1" t="s">
        <v>90</v>
      </c>
    </row>
    <row r="49" spans="1:74" x14ac:dyDescent="0.25">
      <c r="A49"/>
      <c r="J49" s="6" t="s">
        <v>69</v>
      </c>
      <c r="K49" s="1" t="s">
        <v>90</v>
      </c>
      <c r="L49" s="1" t="s">
        <v>90</v>
      </c>
      <c r="M49" s="1" t="s">
        <v>90</v>
      </c>
      <c r="N49" s="1" t="s">
        <v>90</v>
      </c>
      <c r="O49" s="1" t="s">
        <v>90</v>
      </c>
      <c r="P49" s="1" t="s">
        <v>90</v>
      </c>
      <c r="Q49" s="1" t="s">
        <v>90</v>
      </c>
      <c r="R49" s="1" t="s">
        <v>90</v>
      </c>
      <c r="S49" s="1" t="s">
        <v>90</v>
      </c>
      <c r="T49" s="1" t="s">
        <v>90</v>
      </c>
      <c r="U49" s="1" t="s">
        <v>90</v>
      </c>
      <c r="V49" s="1" t="s">
        <v>90</v>
      </c>
      <c r="W49" s="1" t="s">
        <v>90</v>
      </c>
      <c r="X49" s="1" t="s">
        <v>90</v>
      </c>
      <c r="Y49" s="1" t="s">
        <v>90</v>
      </c>
      <c r="Z49" s="1" t="s">
        <v>90</v>
      </c>
      <c r="AA49" s="1" t="s">
        <v>90</v>
      </c>
      <c r="AB49" s="1" t="s">
        <v>90</v>
      </c>
      <c r="AC49" s="1" t="s">
        <v>90</v>
      </c>
      <c r="AD49" s="1" t="s">
        <v>90</v>
      </c>
      <c r="AE49" s="1" t="s">
        <v>90</v>
      </c>
      <c r="AF49" s="1" t="s">
        <v>90</v>
      </c>
      <c r="AG49" s="1" t="s">
        <v>90</v>
      </c>
      <c r="AH49" s="1" t="s">
        <v>90</v>
      </c>
      <c r="AI49" s="1" t="s">
        <v>90</v>
      </c>
      <c r="AJ49" s="1" t="s">
        <v>90</v>
      </c>
      <c r="AK49" s="1" t="s">
        <v>90</v>
      </c>
      <c r="AL49" s="1" t="s">
        <v>90</v>
      </c>
      <c r="AM49" s="1" t="s">
        <v>90</v>
      </c>
      <c r="AN49" s="1" t="s">
        <v>90</v>
      </c>
      <c r="AO49" s="1" t="s">
        <v>90</v>
      </c>
      <c r="AP49" s="1" t="s">
        <v>90</v>
      </c>
      <c r="AQ49" s="1" t="s">
        <v>90</v>
      </c>
      <c r="AR49" s="1" t="s">
        <v>90</v>
      </c>
      <c r="AS49" s="1" t="s">
        <v>90</v>
      </c>
      <c r="AT49" s="1" t="s">
        <v>90</v>
      </c>
      <c r="AU49" s="1" t="s">
        <v>90</v>
      </c>
      <c r="AV49" s="1" t="s">
        <v>90</v>
      </c>
      <c r="AW49" s="1" t="s">
        <v>90</v>
      </c>
      <c r="AX49" s="1" t="s">
        <v>90</v>
      </c>
      <c r="AY49" s="1" t="s">
        <v>90</v>
      </c>
      <c r="AZ49" s="1" t="s">
        <v>90</v>
      </c>
      <c r="BA49" s="1" t="s">
        <v>90</v>
      </c>
      <c r="BB49" s="1">
        <v>1</v>
      </c>
      <c r="BC49" s="1" t="s">
        <v>90</v>
      </c>
      <c r="BD49" s="1" t="s">
        <v>90</v>
      </c>
      <c r="BE49" s="1" t="s">
        <v>90</v>
      </c>
      <c r="BF49" s="1" t="s">
        <v>90</v>
      </c>
      <c r="BG49" s="1" t="s">
        <v>90</v>
      </c>
      <c r="BH49" s="1" t="s">
        <v>90</v>
      </c>
      <c r="BI49" s="1" t="s">
        <v>90</v>
      </c>
      <c r="BJ49" s="1" t="s">
        <v>90</v>
      </c>
      <c r="BK49" s="1" t="s">
        <v>90</v>
      </c>
      <c r="BL49" s="1" t="s">
        <v>90</v>
      </c>
      <c r="BM49" s="1" t="s">
        <v>90</v>
      </c>
      <c r="BN49" s="1" t="s">
        <v>90</v>
      </c>
      <c r="BO49" s="1" t="s">
        <v>90</v>
      </c>
      <c r="BP49" s="1" t="s">
        <v>90</v>
      </c>
      <c r="BQ49" s="1" t="s">
        <v>90</v>
      </c>
      <c r="BR49" s="1" t="s">
        <v>90</v>
      </c>
      <c r="BS49" s="1" t="s">
        <v>90</v>
      </c>
      <c r="BT49" s="1" t="s">
        <v>90</v>
      </c>
      <c r="BU49" s="1" t="s">
        <v>90</v>
      </c>
      <c r="BV49" s="1" t="s">
        <v>90</v>
      </c>
    </row>
    <row r="50" spans="1:74" x14ac:dyDescent="0.25">
      <c r="A50"/>
      <c r="J50" s="6" t="s">
        <v>70</v>
      </c>
      <c r="K50" s="1" t="s">
        <v>90</v>
      </c>
      <c r="L50" s="1" t="s">
        <v>90</v>
      </c>
      <c r="M50" s="1" t="s">
        <v>90</v>
      </c>
      <c r="N50" s="1" t="s">
        <v>90</v>
      </c>
      <c r="O50" s="1" t="s">
        <v>90</v>
      </c>
      <c r="P50" s="1" t="s">
        <v>90</v>
      </c>
      <c r="Q50" s="1" t="s">
        <v>90</v>
      </c>
      <c r="R50" s="1" t="s">
        <v>90</v>
      </c>
      <c r="S50" s="1" t="s">
        <v>90</v>
      </c>
      <c r="T50" s="1" t="s">
        <v>90</v>
      </c>
      <c r="U50" s="1" t="s">
        <v>90</v>
      </c>
      <c r="V50" s="1" t="s">
        <v>90</v>
      </c>
      <c r="W50" s="1" t="s">
        <v>90</v>
      </c>
      <c r="X50" s="1" t="s">
        <v>90</v>
      </c>
      <c r="Y50" s="1" t="s">
        <v>90</v>
      </c>
      <c r="Z50" s="1" t="s">
        <v>90</v>
      </c>
      <c r="AA50" s="1" t="s">
        <v>90</v>
      </c>
      <c r="AB50" s="1" t="s">
        <v>90</v>
      </c>
      <c r="AC50" s="1" t="s">
        <v>90</v>
      </c>
      <c r="AD50" s="1" t="s">
        <v>90</v>
      </c>
      <c r="AE50" s="1" t="s">
        <v>90</v>
      </c>
      <c r="AF50" s="1" t="s">
        <v>90</v>
      </c>
      <c r="AG50" s="1" t="s">
        <v>90</v>
      </c>
      <c r="AH50" s="1" t="s">
        <v>90</v>
      </c>
      <c r="AI50" s="1" t="s">
        <v>90</v>
      </c>
      <c r="AJ50" s="1" t="s">
        <v>90</v>
      </c>
      <c r="AK50" s="1" t="s">
        <v>90</v>
      </c>
      <c r="AL50" s="1" t="s">
        <v>90</v>
      </c>
      <c r="AM50" s="1" t="s">
        <v>90</v>
      </c>
      <c r="AN50" s="1" t="s">
        <v>90</v>
      </c>
      <c r="AO50" s="1" t="s">
        <v>90</v>
      </c>
      <c r="AP50" s="1" t="s">
        <v>90</v>
      </c>
      <c r="AQ50" s="1" t="s">
        <v>90</v>
      </c>
      <c r="AR50" s="1" t="s">
        <v>90</v>
      </c>
      <c r="AS50" s="1" t="s">
        <v>90</v>
      </c>
      <c r="AT50" s="1" t="s">
        <v>90</v>
      </c>
      <c r="AU50" s="1" t="s">
        <v>90</v>
      </c>
      <c r="AV50" s="1" t="s">
        <v>90</v>
      </c>
      <c r="AW50" s="1" t="s">
        <v>90</v>
      </c>
      <c r="AX50" s="1" t="s">
        <v>90</v>
      </c>
      <c r="AY50" s="1" t="s">
        <v>90</v>
      </c>
      <c r="AZ50" s="1" t="s">
        <v>90</v>
      </c>
      <c r="BA50" s="1" t="s">
        <v>90</v>
      </c>
      <c r="BB50" s="1" t="s">
        <v>90</v>
      </c>
      <c r="BC50" s="1">
        <v>1</v>
      </c>
      <c r="BD50" s="1" t="s">
        <v>90</v>
      </c>
      <c r="BE50" s="1" t="s">
        <v>90</v>
      </c>
      <c r="BF50" s="1" t="s">
        <v>90</v>
      </c>
      <c r="BG50" s="1" t="s">
        <v>90</v>
      </c>
      <c r="BH50" s="1" t="s">
        <v>90</v>
      </c>
      <c r="BI50" s="1" t="s">
        <v>90</v>
      </c>
      <c r="BJ50" s="1" t="s">
        <v>90</v>
      </c>
      <c r="BK50" s="1" t="s">
        <v>90</v>
      </c>
      <c r="BL50" s="1" t="s">
        <v>90</v>
      </c>
      <c r="BM50" s="1" t="s">
        <v>90</v>
      </c>
      <c r="BN50" s="1" t="s">
        <v>90</v>
      </c>
      <c r="BO50" s="1" t="s">
        <v>90</v>
      </c>
      <c r="BP50" s="1" t="s">
        <v>90</v>
      </c>
      <c r="BQ50" s="1" t="s">
        <v>90</v>
      </c>
      <c r="BR50" s="1" t="s">
        <v>90</v>
      </c>
      <c r="BS50" s="1" t="s">
        <v>90</v>
      </c>
      <c r="BT50" s="1" t="s">
        <v>90</v>
      </c>
      <c r="BU50" s="1" t="s">
        <v>90</v>
      </c>
      <c r="BV50" s="1" t="s">
        <v>90</v>
      </c>
    </row>
    <row r="51" spans="1:74" x14ac:dyDescent="0.25">
      <c r="A51"/>
      <c r="J51" s="6" t="s">
        <v>71</v>
      </c>
      <c r="K51" s="1" t="s">
        <v>90</v>
      </c>
      <c r="L51" s="1" t="s">
        <v>90</v>
      </c>
      <c r="M51" s="1" t="s">
        <v>90</v>
      </c>
      <c r="N51" s="1" t="s">
        <v>90</v>
      </c>
      <c r="O51" s="1" t="s">
        <v>90</v>
      </c>
      <c r="P51" s="1" t="s">
        <v>90</v>
      </c>
      <c r="Q51" s="1" t="s">
        <v>90</v>
      </c>
      <c r="R51" s="1" t="s">
        <v>90</v>
      </c>
      <c r="S51" s="1" t="s">
        <v>90</v>
      </c>
      <c r="T51" s="1" t="s">
        <v>90</v>
      </c>
      <c r="U51" s="1" t="s">
        <v>90</v>
      </c>
      <c r="V51" s="1" t="s">
        <v>90</v>
      </c>
      <c r="W51" s="1" t="s">
        <v>90</v>
      </c>
      <c r="X51" s="1" t="s">
        <v>90</v>
      </c>
      <c r="Y51" s="1" t="s">
        <v>90</v>
      </c>
      <c r="Z51" s="1" t="s">
        <v>90</v>
      </c>
      <c r="AA51" s="1" t="s">
        <v>90</v>
      </c>
      <c r="AB51" s="1" t="s">
        <v>90</v>
      </c>
      <c r="AC51" s="1" t="s">
        <v>90</v>
      </c>
      <c r="AD51" s="1" t="s">
        <v>90</v>
      </c>
      <c r="AE51" s="1" t="s">
        <v>90</v>
      </c>
      <c r="AF51" s="1" t="s">
        <v>90</v>
      </c>
      <c r="AG51" s="1" t="s">
        <v>90</v>
      </c>
      <c r="AH51" s="1" t="s">
        <v>90</v>
      </c>
      <c r="AI51" s="1" t="s">
        <v>90</v>
      </c>
      <c r="AJ51" s="1" t="s">
        <v>90</v>
      </c>
      <c r="AK51" s="1" t="s">
        <v>90</v>
      </c>
      <c r="AL51" s="1" t="s">
        <v>90</v>
      </c>
      <c r="AM51" s="1" t="s">
        <v>90</v>
      </c>
      <c r="AN51" s="1" t="s">
        <v>90</v>
      </c>
      <c r="AO51" s="1" t="s">
        <v>90</v>
      </c>
      <c r="AP51" s="1" t="s">
        <v>90</v>
      </c>
      <c r="AQ51" s="1" t="s">
        <v>90</v>
      </c>
      <c r="AR51" s="1" t="s">
        <v>90</v>
      </c>
      <c r="AS51" s="1" t="s">
        <v>90</v>
      </c>
      <c r="AT51" s="1" t="s">
        <v>90</v>
      </c>
      <c r="AU51" s="1" t="s">
        <v>90</v>
      </c>
      <c r="AV51" s="1" t="s">
        <v>90</v>
      </c>
      <c r="AW51" s="1" t="s">
        <v>90</v>
      </c>
      <c r="AX51" s="1" t="s">
        <v>90</v>
      </c>
      <c r="AY51" s="1" t="s">
        <v>90</v>
      </c>
      <c r="AZ51" s="1" t="s">
        <v>90</v>
      </c>
      <c r="BA51" s="1" t="s">
        <v>90</v>
      </c>
      <c r="BB51" s="1" t="s">
        <v>90</v>
      </c>
      <c r="BC51" s="1" t="s">
        <v>90</v>
      </c>
      <c r="BD51" s="1">
        <v>1</v>
      </c>
      <c r="BE51" s="1" t="s">
        <v>90</v>
      </c>
      <c r="BF51" s="1" t="s">
        <v>90</v>
      </c>
      <c r="BG51" s="1" t="s">
        <v>90</v>
      </c>
      <c r="BH51" s="1" t="s">
        <v>90</v>
      </c>
      <c r="BI51" s="1" t="s">
        <v>90</v>
      </c>
      <c r="BJ51" s="1" t="s">
        <v>90</v>
      </c>
      <c r="BK51" s="1" t="s">
        <v>90</v>
      </c>
      <c r="BL51" s="1" t="s">
        <v>90</v>
      </c>
      <c r="BM51" s="1" t="s">
        <v>90</v>
      </c>
      <c r="BN51" s="1" t="s">
        <v>90</v>
      </c>
      <c r="BO51" s="1" t="s">
        <v>90</v>
      </c>
      <c r="BP51" s="1" t="s">
        <v>90</v>
      </c>
      <c r="BQ51" s="1" t="s">
        <v>90</v>
      </c>
      <c r="BR51" s="1" t="s">
        <v>90</v>
      </c>
      <c r="BS51" s="1" t="s">
        <v>90</v>
      </c>
      <c r="BT51" s="1" t="s">
        <v>90</v>
      </c>
      <c r="BU51" s="1" t="s">
        <v>90</v>
      </c>
      <c r="BV51" s="1" t="s">
        <v>90</v>
      </c>
    </row>
    <row r="52" spans="1:74" x14ac:dyDescent="0.25">
      <c r="A52"/>
      <c r="J52" s="6" t="s">
        <v>72</v>
      </c>
      <c r="K52" s="1" t="s">
        <v>90</v>
      </c>
      <c r="L52" s="1" t="s">
        <v>90</v>
      </c>
      <c r="M52" s="1" t="s">
        <v>90</v>
      </c>
      <c r="N52" s="1" t="s">
        <v>90</v>
      </c>
      <c r="O52" s="1" t="s">
        <v>90</v>
      </c>
      <c r="P52" s="1" t="s">
        <v>90</v>
      </c>
      <c r="Q52" s="1" t="s">
        <v>90</v>
      </c>
      <c r="R52" s="1" t="s">
        <v>90</v>
      </c>
      <c r="S52" s="1" t="s">
        <v>90</v>
      </c>
      <c r="T52" s="1" t="s">
        <v>90</v>
      </c>
      <c r="U52" s="1" t="s">
        <v>90</v>
      </c>
      <c r="V52" s="1" t="s">
        <v>90</v>
      </c>
      <c r="W52" s="1" t="s">
        <v>90</v>
      </c>
      <c r="X52" s="1" t="s">
        <v>90</v>
      </c>
      <c r="Y52" s="1" t="s">
        <v>90</v>
      </c>
      <c r="Z52" s="1" t="s">
        <v>90</v>
      </c>
      <c r="AA52" s="1" t="s">
        <v>90</v>
      </c>
      <c r="AB52" s="1" t="s">
        <v>90</v>
      </c>
      <c r="AC52" s="1" t="s">
        <v>90</v>
      </c>
      <c r="AD52" s="1" t="s">
        <v>90</v>
      </c>
      <c r="AE52" s="1" t="s">
        <v>90</v>
      </c>
      <c r="AF52" s="1" t="s">
        <v>90</v>
      </c>
      <c r="AG52" s="1" t="s">
        <v>90</v>
      </c>
      <c r="AH52" s="1" t="s">
        <v>90</v>
      </c>
      <c r="AI52" s="1" t="s">
        <v>90</v>
      </c>
      <c r="AJ52" s="1" t="s">
        <v>90</v>
      </c>
      <c r="AK52" s="1" t="s">
        <v>90</v>
      </c>
      <c r="AL52" s="1" t="s">
        <v>90</v>
      </c>
      <c r="AM52" s="1" t="s">
        <v>90</v>
      </c>
      <c r="AN52" s="1" t="s">
        <v>90</v>
      </c>
      <c r="AO52" s="1" t="s">
        <v>90</v>
      </c>
      <c r="AP52" s="1" t="s">
        <v>90</v>
      </c>
      <c r="AQ52" s="1" t="s">
        <v>90</v>
      </c>
      <c r="AR52" s="1" t="s">
        <v>90</v>
      </c>
      <c r="AS52" s="1" t="s">
        <v>90</v>
      </c>
      <c r="AT52" s="1" t="s">
        <v>90</v>
      </c>
      <c r="AU52" s="1" t="s">
        <v>90</v>
      </c>
      <c r="AV52" s="1" t="s">
        <v>90</v>
      </c>
      <c r="AW52" s="1" t="s">
        <v>90</v>
      </c>
      <c r="AX52" s="1" t="s">
        <v>90</v>
      </c>
      <c r="AY52" s="1" t="s">
        <v>90</v>
      </c>
      <c r="AZ52" s="1" t="s">
        <v>90</v>
      </c>
      <c r="BA52" s="1" t="s">
        <v>90</v>
      </c>
      <c r="BB52" s="1" t="s">
        <v>90</v>
      </c>
      <c r="BC52" s="1" t="s">
        <v>90</v>
      </c>
      <c r="BD52" s="1" t="s">
        <v>90</v>
      </c>
      <c r="BE52" s="1">
        <v>1</v>
      </c>
      <c r="BF52" s="1" t="s">
        <v>90</v>
      </c>
      <c r="BG52" s="1" t="s">
        <v>90</v>
      </c>
      <c r="BH52" s="1" t="s">
        <v>90</v>
      </c>
      <c r="BI52" s="1" t="s">
        <v>90</v>
      </c>
      <c r="BJ52" s="1" t="s">
        <v>90</v>
      </c>
      <c r="BK52" s="1" t="s">
        <v>90</v>
      </c>
      <c r="BL52" s="1" t="s">
        <v>90</v>
      </c>
      <c r="BM52" s="1" t="s">
        <v>90</v>
      </c>
      <c r="BN52" s="1" t="s">
        <v>90</v>
      </c>
      <c r="BO52" s="1" t="s">
        <v>90</v>
      </c>
      <c r="BP52" s="1" t="s">
        <v>90</v>
      </c>
      <c r="BQ52" s="1" t="s">
        <v>90</v>
      </c>
      <c r="BR52" s="1" t="s">
        <v>90</v>
      </c>
      <c r="BS52" s="1" t="s">
        <v>90</v>
      </c>
      <c r="BT52" s="1" t="s">
        <v>90</v>
      </c>
      <c r="BU52" s="1" t="s">
        <v>90</v>
      </c>
      <c r="BV52" s="1" t="s">
        <v>90</v>
      </c>
    </row>
    <row r="53" spans="1:74" x14ac:dyDescent="0.25">
      <c r="A53"/>
      <c r="J53" s="6" t="s">
        <v>73</v>
      </c>
      <c r="K53" s="1" t="s">
        <v>90</v>
      </c>
      <c r="L53" s="1" t="s">
        <v>90</v>
      </c>
      <c r="M53" s="1" t="s">
        <v>90</v>
      </c>
      <c r="N53" s="1" t="s">
        <v>90</v>
      </c>
      <c r="O53" s="1" t="s">
        <v>90</v>
      </c>
      <c r="P53" s="1" t="s">
        <v>90</v>
      </c>
      <c r="Q53" s="1" t="s">
        <v>90</v>
      </c>
      <c r="R53" s="1" t="s">
        <v>90</v>
      </c>
      <c r="S53" s="1" t="s">
        <v>90</v>
      </c>
      <c r="T53" s="1" t="s">
        <v>90</v>
      </c>
      <c r="U53" s="1" t="s">
        <v>90</v>
      </c>
      <c r="V53" s="1" t="s">
        <v>90</v>
      </c>
      <c r="W53" s="1" t="s">
        <v>90</v>
      </c>
      <c r="X53" s="1" t="s">
        <v>90</v>
      </c>
      <c r="Y53" s="1" t="s">
        <v>90</v>
      </c>
      <c r="Z53" s="1" t="s">
        <v>90</v>
      </c>
      <c r="AA53" s="1" t="s">
        <v>90</v>
      </c>
      <c r="AB53" s="1" t="s">
        <v>90</v>
      </c>
      <c r="AC53" s="1" t="s">
        <v>90</v>
      </c>
      <c r="AD53" s="1" t="s">
        <v>90</v>
      </c>
      <c r="AE53" s="1" t="s">
        <v>90</v>
      </c>
      <c r="AF53" s="1" t="s">
        <v>90</v>
      </c>
      <c r="AG53" s="1" t="s">
        <v>90</v>
      </c>
      <c r="AH53" s="1" t="s">
        <v>90</v>
      </c>
      <c r="AI53" s="1" t="s">
        <v>90</v>
      </c>
      <c r="AJ53" s="1" t="s">
        <v>90</v>
      </c>
      <c r="AK53" s="1" t="s">
        <v>90</v>
      </c>
      <c r="AL53" s="1" t="s">
        <v>90</v>
      </c>
      <c r="AM53" s="1" t="s">
        <v>90</v>
      </c>
      <c r="AN53" s="1" t="s">
        <v>90</v>
      </c>
      <c r="AO53" s="1" t="s">
        <v>90</v>
      </c>
      <c r="AP53" s="1" t="s">
        <v>90</v>
      </c>
      <c r="AQ53" s="1" t="s">
        <v>90</v>
      </c>
      <c r="AR53" s="1" t="s">
        <v>90</v>
      </c>
      <c r="AS53" s="1" t="s">
        <v>90</v>
      </c>
      <c r="AT53" s="1" t="s">
        <v>90</v>
      </c>
      <c r="AU53" s="1" t="s">
        <v>90</v>
      </c>
      <c r="AV53" s="1" t="s">
        <v>90</v>
      </c>
      <c r="AW53" s="1" t="s">
        <v>90</v>
      </c>
      <c r="AX53" s="1" t="s">
        <v>90</v>
      </c>
      <c r="AY53" s="1" t="s">
        <v>90</v>
      </c>
      <c r="AZ53" s="1" t="s">
        <v>90</v>
      </c>
      <c r="BA53" s="1" t="s">
        <v>90</v>
      </c>
      <c r="BB53" s="1" t="s">
        <v>90</v>
      </c>
      <c r="BC53" s="1" t="s">
        <v>90</v>
      </c>
      <c r="BD53" s="1" t="s">
        <v>90</v>
      </c>
      <c r="BE53" s="1" t="s">
        <v>90</v>
      </c>
      <c r="BF53" s="1">
        <v>1</v>
      </c>
      <c r="BG53" s="1" t="s">
        <v>90</v>
      </c>
      <c r="BH53" s="1" t="s">
        <v>90</v>
      </c>
      <c r="BI53" s="1" t="s">
        <v>90</v>
      </c>
      <c r="BJ53" s="1" t="s">
        <v>90</v>
      </c>
      <c r="BK53" s="1" t="s">
        <v>90</v>
      </c>
      <c r="BL53" s="1" t="s">
        <v>90</v>
      </c>
      <c r="BM53" s="1" t="s">
        <v>90</v>
      </c>
      <c r="BN53" s="1" t="s">
        <v>90</v>
      </c>
      <c r="BO53" s="1" t="s">
        <v>90</v>
      </c>
      <c r="BP53" s="1" t="s">
        <v>90</v>
      </c>
      <c r="BQ53" s="1" t="s">
        <v>90</v>
      </c>
      <c r="BR53" s="1" t="s">
        <v>90</v>
      </c>
      <c r="BS53" s="1" t="s">
        <v>90</v>
      </c>
      <c r="BT53" s="1" t="s">
        <v>90</v>
      </c>
      <c r="BU53" s="1" t="s">
        <v>90</v>
      </c>
      <c r="BV53" s="1" t="s">
        <v>90</v>
      </c>
    </row>
    <row r="54" spans="1:74" x14ac:dyDescent="0.25">
      <c r="A54"/>
      <c r="J54" s="6" t="s">
        <v>74</v>
      </c>
      <c r="K54" s="1" t="s">
        <v>90</v>
      </c>
      <c r="L54" s="1" t="s">
        <v>90</v>
      </c>
      <c r="M54" s="1" t="s">
        <v>90</v>
      </c>
      <c r="N54" s="1" t="s">
        <v>90</v>
      </c>
      <c r="O54" s="1" t="s">
        <v>90</v>
      </c>
      <c r="P54" s="1" t="s">
        <v>90</v>
      </c>
      <c r="Q54" s="1" t="s">
        <v>90</v>
      </c>
      <c r="R54" s="1" t="s">
        <v>90</v>
      </c>
      <c r="S54" s="1" t="s">
        <v>90</v>
      </c>
      <c r="T54" s="1" t="s">
        <v>90</v>
      </c>
      <c r="U54" s="1" t="s">
        <v>90</v>
      </c>
      <c r="V54" s="1" t="s">
        <v>90</v>
      </c>
      <c r="W54" s="1" t="s">
        <v>90</v>
      </c>
      <c r="X54" s="1" t="s">
        <v>90</v>
      </c>
      <c r="Y54" s="1" t="s">
        <v>90</v>
      </c>
      <c r="Z54" s="1" t="s">
        <v>90</v>
      </c>
      <c r="AA54" s="1" t="s">
        <v>90</v>
      </c>
      <c r="AB54" s="1" t="s">
        <v>90</v>
      </c>
      <c r="AC54" s="1" t="s">
        <v>90</v>
      </c>
      <c r="AD54" s="1" t="s">
        <v>90</v>
      </c>
      <c r="AE54" s="1" t="s">
        <v>90</v>
      </c>
      <c r="AF54" s="1" t="s">
        <v>90</v>
      </c>
      <c r="AG54" s="1" t="s">
        <v>90</v>
      </c>
      <c r="AH54" s="1" t="s">
        <v>90</v>
      </c>
      <c r="AI54" s="1" t="s">
        <v>90</v>
      </c>
      <c r="AJ54" s="1" t="s">
        <v>90</v>
      </c>
      <c r="AK54" s="1" t="s">
        <v>90</v>
      </c>
      <c r="AL54" s="1" t="s">
        <v>90</v>
      </c>
      <c r="AM54" s="1" t="s">
        <v>90</v>
      </c>
      <c r="AN54" s="1" t="s">
        <v>90</v>
      </c>
      <c r="AO54" s="1" t="s">
        <v>90</v>
      </c>
      <c r="AP54" s="1" t="s">
        <v>90</v>
      </c>
      <c r="AQ54" s="1" t="s">
        <v>90</v>
      </c>
      <c r="AR54" s="1" t="s">
        <v>90</v>
      </c>
      <c r="AS54" s="1" t="s">
        <v>90</v>
      </c>
      <c r="AT54" s="1" t="s">
        <v>90</v>
      </c>
      <c r="AU54" s="1" t="s">
        <v>90</v>
      </c>
      <c r="AV54" s="1" t="s">
        <v>90</v>
      </c>
      <c r="AW54" s="1" t="s">
        <v>90</v>
      </c>
      <c r="AX54" s="1" t="s">
        <v>90</v>
      </c>
      <c r="AY54" s="1" t="s">
        <v>90</v>
      </c>
      <c r="AZ54" s="1" t="s">
        <v>90</v>
      </c>
      <c r="BA54" s="1" t="s">
        <v>90</v>
      </c>
      <c r="BB54" s="1" t="s">
        <v>90</v>
      </c>
      <c r="BC54" s="1" t="s">
        <v>90</v>
      </c>
      <c r="BD54" s="1" t="s">
        <v>90</v>
      </c>
      <c r="BE54" s="1" t="s">
        <v>90</v>
      </c>
      <c r="BF54" s="1" t="s">
        <v>90</v>
      </c>
      <c r="BG54" s="1">
        <v>1</v>
      </c>
      <c r="BH54" s="1" t="s">
        <v>90</v>
      </c>
      <c r="BI54" s="1" t="s">
        <v>90</v>
      </c>
      <c r="BJ54" s="1" t="s">
        <v>90</v>
      </c>
      <c r="BK54" s="1" t="s">
        <v>90</v>
      </c>
      <c r="BL54" s="1" t="s">
        <v>90</v>
      </c>
      <c r="BM54" s="1" t="s">
        <v>90</v>
      </c>
      <c r="BN54" s="1" t="s">
        <v>90</v>
      </c>
      <c r="BO54" s="1" t="s">
        <v>90</v>
      </c>
      <c r="BP54" s="1" t="s">
        <v>90</v>
      </c>
      <c r="BQ54" s="1" t="s">
        <v>90</v>
      </c>
      <c r="BR54" s="1" t="s">
        <v>90</v>
      </c>
      <c r="BS54" s="1" t="s">
        <v>90</v>
      </c>
      <c r="BT54" s="1" t="s">
        <v>90</v>
      </c>
      <c r="BU54" s="1" t="s">
        <v>90</v>
      </c>
      <c r="BV54" s="1" t="s">
        <v>90</v>
      </c>
    </row>
    <row r="55" spans="1:74" x14ac:dyDescent="0.25">
      <c r="A55"/>
      <c r="J55" s="6" t="s">
        <v>75</v>
      </c>
      <c r="K55" s="1" t="s">
        <v>90</v>
      </c>
      <c r="L55" s="1" t="s">
        <v>90</v>
      </c>
      <c r="M55" s="1" t="s">
        <v>90</v>
      </c>
      <c r="N55" s="1" t="s">
        <v>90</v>
      </c>
      <c r="O55" s="1" t="s">
        <v>90</v>
      </c>
      <c r="P55" s="1" t="s">
        <v>90</v>
      </c>
      <c r="Q55" s="1" t="s">
        <v>90</v>
      </c>
      <c r="R55" s="1" t="s">
        <v>90</v>
      </c>
      <c r="S55" s="1" t="s">
        <v>90</v>
      </c>
      <c r="T55" s="1" t="s">
        <v>90</v>
      </c>
      <c r="U55" s="1" t="s">
        <v>90</v>
      </c>
      <c r="V55" s="1" t="s">
        <v>90</v>
      </c>
      <c r="W55" s="1" t="s">
        <v>90</v>
      </c>
      <c r="X55" s="1" t="s">
        <v>90</v>
      </c>
      <c r="Y55" s="1" t="s">
        <v>90</v>
      </c>
      <c r="Z55" s="1" t="s">
        <v>90</v>
      </c>
      <c r="AA55" s="1" t="s">
        <v>90</v>
      </c>
      <c r="AB55" s="1" t="s">
        <v>90</v>
      </c>
      <c r="AC55" s="1" t="s">
        <v>90</v>
      </c>
      <c r="AD55" s="1" t="s">
        <v>90</v>
      </c>
      <c r="AE55" s="1" t="s">
        <v>90</v>
      </c>
      <c r="AF55" s="1" t="s">
        <v>90</v>
      </c>
      <c r="AG55" s="1" t="s">
        <v>90</v>
      </c>
      <c r="AH55" s="1" t="s">
        <v>90</v>
      </c>
      <c r="AI55" s="1" t="s">
        <v>90</v>
      </c>
      <c r="AJ55" s="1" t="s">
        <v>90</v>
      </c>
      <c r="AK55" s="1" t="s">
        <v>90</v>
      </c>
      <c r="AL55" s="1" t="s">
        <v>90</v>
      </c>
      <c r="AM55" s="1" t="s">
        <v>90</v>
      </c>
      <c r="AN55" s="1" t="s">
        <v>90</v>
      </c>
      <c r="AO55" s="1" t="s">
        <v>90</v>
      </c>
      <c r="AP55" s="1" t="s">
        <v>90</v>
      </c>
      <c r="AQ55" s="1" t="s">
        <v>90</v>
      </c>
      <c r="AR55" s="1" t="s">
        <v>90</v>
      </c>
      <c r="AS55" s="1" t="s">
        <v>90</v>
      </c>
      <c r="AT55" s="1" t="s">
        <v>90</v>
      </c>
      <c r="AU55" s="1" t="s">
        <v>90</v>
      </c>
      <c r="AV55" s="1" t="s">
        <v>90</v>
      </c>
      <c r="AW55" s="1" t="s">
        <v>90</v>
      </c>
      <c r="AX55" s="1" t="s">
        <v>90</v>
      </c>
      <c r="AY55" s="1" t="s">
        <v>90</v>
      </c>
      <c r="AZ55" s="1" t="s">
        <v>90</v>
      </c>
      <c r="BA55" s="1" t="s">
        <v>90</v>
      </c>
      <c r="BB55" s="1" t="s">
        <v>90</v>
      </c>
      <c r="BC55" s="1" t="s">
        <v>90</v>
      </c>
      <c r="BD55" s="1" t="s">
        <v>90</v>
      </c>
      <c r="BE55" s="1" t="s">
        <v>90</v>
      </c>
      <c r="BF55" s="1" t="s">
        <v>90</v>
      </c>
      <c r="BG55" s="1" t="s">
        <v>90</v>
      </c>
      <c r="BH55" s="1">
        <v>1</v>
      </c>
      <c r="BI55" s="1" t="s">
        <v>90</v>
      </c>
      <c r="BJ55" s="1" t="s">
        <v>90</v>
      </c>
      <c r="BK55" s="1" t="s">
        <v>90</v>
      </c>
      <c r="BL55" s="1" t="s">
        <v>90</v>
      </c>
      <c r="BM55" s="1" t="s">
        <v>90</v>
      </c>
      <c r="BN55" s="1" t="s">
        <v>90</v>
      </c>
      <c r="BO55" s="1" t="s">
        <v>90</v>
      </c>
      <c r="BP55" s="1" t="s">
        <v>90</v>
      </c>
      <c r="BQ55" s="1" t="s">
        <v>90</v>
      </c>
      <c r="BR55" s="1" t="s">
        <v>90</v>
      </c>
      <c r="BS55" s="1" t="s">
        <v>90</v>
      </c>
      <c r="BT55" s="1" t="s">
        <v>90</v>
      </c>
      <c r="BU55" s="1" t="s">
        <v>90</v>
      </c>
      <c r="BV55" s="1" t="s">
        <v>90</v>
      </c>
    </row>
    <row r="56" spans="1:74" x14ac:dyDescent="0.25">
      <c r="A56"/>
      <c r="J56" s="6" t="s">
        <v>76</v>
      </c>
      <c r="K56" s="1" t="s">
        <v>90</v>
      </c>
      <c r="L56" s="1" t="s">
        <v>90</v>
      </c>
      <c r="M56" s="1" t="s">
        <v>90</v>
      </c>
      <c r="N56" s="1" t="s">
        <v>90</v>
      </c>
      <c r="O56" s="1" t="s">
        <v>90</v>
      </c>
      <c r="P56" s="1" t="s">
        <v>90</v>
      </c>
      <c r="Q56" s="1" t="s">
        <v>90</v>
      </c>
      <c r="R56" s="1" t="s">
        <v>90</v>
      </c>
      <c r="S56" s="1" t="s">
        <v>90</v>
      </c>
      <c r="T56" s="1" t="s">
        <v>90</v>
      </c>
      <c r="U56" s="1" t="s">
        <v>90</v>
      </c>
      <c r="V56" s="1" t="s">
        <v>90</v>
      </c>
      <c r="W56" s="1" t="s">
        <v>90</v>
      </c>
      <c r="X56" s="1" t="s">
        <v>90</v>
      </c>
      <c r="Y56" s="1" t="s">
        <v>90</v>
      </c>
      <c r="Z56" s="1" t="s">
        <v>90</v>
      </c>
      <c r="AA56" s="1" t="s">
        <v>90</v>
      </c>
      <c r="AB56" s="1" t="s">
        <v>90</v>
      </c>
      <c r="AC56" s="1" t="s">
        <v>90</v>
      </c>
      <c r="AD56" s="1" t="s">
        <v>90</v>
      </c>
      <c r="AE56" s="1" t="s">
        <v>90</v>
      </c>
      <c r="AF56" s="1" t="s">
        <v>90</v>
      </c>
      <c r="AG56" s="1" t="s">
        <v>90</v>
      </c>
      <c r="AH56" s="1" t="s">
        <v>90</v>
      </c>
      <c r="AI56" s="1" t="s">
        <v>90</v>
      </c>
      <c r="AJ56" s="1" t="s">
        <v>90</v>
      </c>
      <c r="AK56" s="1" t="s">
        <v>90</v>
      </c>
      <c r="AL56" s="1" t="s">
        <v>90</v>
      </c>
      <c r="AM56" s="1" t="s">
        <v>90</v>
      </c>
      <c r="AN56" s="1" t="s">
        <v>90</v>
      </c>
      <c r="AO56" s="1" t="s">
        <v>90</v>
      </c>
      <c r="AP56" s="1" t="s">
        <v>90</v>
      </c>
      <c r="AQ56" s="1" t="s">
        <v>90</v>
      </c>
      <c r="AR56" s="1" t="s">
        <v>90</v>
      </c>
      <c r="AS56" s="1" t="s">
        <v>90</v>
      </c>
      <c r="AT56" s="1" t="s">
        <v>90</v>
      </c>
      <c r="AU56" s="1" t="s">
        <v>90</v>
      </c>
      <c r="AV56" s="1" t="s">
        <v>90</v>
      </c>
      <c r="AW56" s="1" t="s">
        <v>90</v>
      </c>
      <c r="AX56" s="1" t="s">
        <v>90</v>
      </c>
      <c r="AY56" s="1" t="s">
        <v>90</v>
      </c>
      <c r="AZ56" s="1" t="s">
        <v>90</v>
      </c>
      <c r="BA56" s="1" t="s">
        <v>90</v>
      </c>
      <c r="BB56" s="1" t="s">
        <v>90</v>
      </c>
      <c r="BC56" s="1" t="s">
        <v>90</v>
      </c>
      <c r="BD56" s="1" t="s">
        <v>90</v>
      </c>
      <c r="BE56" s="1" t="s">
        <v>90</v>
      </c>
      <c r="BF56" s="1" t="s">
        <v>90</v>
      </c>
      <c r="BG56" s="1" t="s">
        <v>90</v>
      </c>
      <c r="BH56" s="1" t="s">
        <v>90</v>
      </c>
      <c r="BI56" s="1">
        <v>1</v>
      </c>
      <c r="BJ56" s="1" t="s">
        <v>90</v>
      </c>
      <c r="BK56" s="1" t="s">
        <v>90</v>
      </c>
      <c r="BL56" s="1" t="s">
        <v>90</v>
      </c>
      <c r="BM56" s="1" t="s">
        <v>90</v>
      </c>
      <c r="BN56" s="1" t="s">
        <v>90</v>
      </c>
      <c r="BO56" s="1" t="s">
        <v>90</v>
      </c>
      <c r="BP56" s="1" t="s">
        <v>90</v>
      </c>
      <c r="BQ56" s="1" t="s">
        <v>90</v>
      </c>
      <c r="BR56" s="1" t="s">
        <v>90</v>
      </c>
      <c r="BS56" s="1" t="s">
        <v>90</v>
      </c>
      <c r="BT56" s="1" t="s">
        <v>90</v>
      </c>
      <c r="BU56" s="1" t="s">
        <v>90</v>
      </c>
      <c r="BV56" s="1" t="s">
        <v>90</v>
      </c>
    </row>
    <row r="57" spans="1:74" x14ac:dyDescent="0.25">
      <c r="A57"/>
      <c r="J57" s="6" t="s">
        <v>77</v>
      </c>
      <c r="K57" s="1" t="s">
        <v>90</v>
      </c>
      <c r="L57" s="1" t="s">
        <v>90</v>
      </c>
      <c r="M57" s="1" t="s">
        <v>90</v>
      </c>
      <c r="N57" s="1" t="s">
        <v>90</v>
      </c>
      <c r="O57" s="1" t="s">
        <v>90</v>
      </c>
      <c r="P57" s="1" t="s">
        <v>90</v>
      </c>
      <c r="Q57" s="1" t="s">
        <v>90</v>
      </c>
      <c r="R57" s="1" t="s">
        <v>90</v>
      </c>
      <c r="S57" s="1" t="s">
        <v>90</v>
      </c>
      <c r="T57" s="1" t="s">
        <v>90</v>
      </c>
      <c r="U57" s="1" t="s">
        <v>90</v>
      </c>
      <c r="V57" s="1" t="s">
        <v>90</v>
      </c>
      <c r="W57" s="1" t="s">
        <v>90</v>
      </c>
      <c r="X57" s="1" t="s">
        <v>90</v>
      </c>
      <c r="Y57" s="1" t="s">
        <v>90</v>
      </c>
      <c r="Z57" s="1" t="s">
        <v>90</v>
      </c>
      <c r="AA57" s="1" t="s">
        <v>90</v>
      </c>
      <c r="AB57" s="1" t="s">
        <v>90</v>
      </c>
      <c r="AC57" s="1" t="s">
        <v>90</v>
      </c>
      <c r="AD57" s="1" t="s">
        <v>90</v>
      </c>
      <c r="AE57" s="1" t="s">
        <v>90</v>
      </c>
      <c r="AF57" s="1" t="s">
        <v>90</v>
      </c>
      <c r="AG57" s="1" t="s">
        <v>90</v>
      </c>
      <c r="AH57" s="1" t="s">
        <v>90</v>
      </c>
      <c r="AI57" s="1" t="s">
        <v>90</v>
      </c>
      <c r="AJ57" s="1" t="s">
        <v>90</v>
      </c>
      <c r="AK57" s="1" t="s">
        <v>90</v>
      </c>
      <c r="AL57" s="1" t="s">
        <v>90</v>
      </c>
      <c r="AM57" s="1" t="s">
        <v>90</v>
      </c>
      <c r="AN57" s="1" t="s">
        <v>90</v>
      </c>
      <c r="AO57" s="1" t="s">
        <v>90</v>
      </c>
      <c r="AP57" s="1" t="s">
        <v>90</v>
      </c>
      <c r="AQ57" s="1" t="s">
        <v>90</v>
      </c>
      <c r="AR57" s="1" t="s">
        <v>90</v>
      </c>
      <c r="AS57" s="1" t="s">
        <v>90</v>
      </c>
      <c r="AT57" s="1" t="s">
        <v>90</v>
      </c>
      <c r="AU57" s="1" t="s">
        <v>90</v>
      </c>
      <c r="AV57" s="1" t="s">
        <v>90</v>
      </c>
      <c r="AW57" s="1" t="s">
        <v>90</v>
      </c>
      <c r="AX57" s="1" t="s">
        <v>90</v>
      </c>
      <c r="AY57" s="1" t="s">
        <v>90</v>
      </c>
      <c r="AZ57" s="1" t="s">
        <v>90</v>
      </c>
      <c r="BA57" s="1" t="s">
        <v>90</v>
      </c>
      <c r="BB57" s="1" t="s">
        <v>90</v>
      </c>
      <c r="BC57" s="1" t="s">
        <v>90</v>
      </c>
      <c r="BD57" s="1" t="s">
        <v>90</v>
      </c>
      <c r="BE57" s="1" t="s">
        <v>90</v>
      </c>
      <c r="BF57" s="1" t="s">
        <v>90</v>
      </c>
      <c r="BG57" s="1" t="s">
        <v>90</v>
      </c>
      <c r="BH57" s="1" t="s">
        <v>90</v>
      </c>
      <c r="BI57" s="1" t="s">
        <v>90</v>
      </c>
      <c r="BJ57" s="1">
        <v>1</v>
      </c>
      <c r="BK57" s="1" t="s">
        <v>90</v>
      </c>
      <c r="BL57" s="1" t="s">
        <v>90</v>
      </c>
      <c r="BM57" s="1" t="s">
        <v>90</v>
      </c>
      <c r="BN57" s="1" t="s">
        <v>90</v>
      </c>
      <c r="BO57" s="1" t="s">
        <v>90</v>
      </c>
      <c r="BP57" s="1" t="s">
        <v>90</v>
      </c>
      <c r="BQ57" s="1" t="s">
        <v>90</v>
      </c>
      <c r="BR57" s="1" t="s">
        <v>90</v>
      </c>
      <c r="BS57" s="1" t="s">
        <v>90</v>
      </c>
      <c r="BT57" s="1" t="s">
        <v>90</v>
      </c>
      <c r="BU57" s="1" t="s">
        <v>90</v>
      </c>
      <c r="BV57" s="1" t="s">
        <v>90</v>
      </c>
    </row>
    <row r="58" spans="1:74" x14ac:dyDescent="0.25">
      <c r="A58"/>
      <c r="J58" s="6" t="s">
        <v>78</v>
      </c>
      <c r="K58" s="1" t="s">
        <v>90</v>
      </c>
      <c r="L58" s="1" t="s">
        <v>90</v>
      </c>
      <c r="M58" s="1" t="s">
        <v>90</v>
      </c>
      <c r="N58" s="1" t="s">
        <v>90</v>
      </c>
      <c r="O58" s="1" t="s">
        <v>90</v>
      </c>
      <c r="P58" s="1" t="s">
        <v>90</v>
      </c>
      <c r="Q58" s="1" t="s">
        <v>90</v>
      </c>
      <c r="R58" s="1" t="s">
        <v>90</v>
      </c>
      <c r="S58" s="1" t="s">
        <v>90</v>
      </c>
      <c r="T58" s="1" t="s">
        <v>90</v>
      </c>
      <c r="U58" s="1" t="s">
        <v>90</v>
      </c>
      <c r="V58" s="1" t="s">
        <v>90</v>
      </c>
      <c r="W58" s="1" t="s">
        <v>90</v>
      </c>
      <c r="X58" s="1" t="s">
        <v>90</v>
      </c>
      <c r="Y58" s="1" t="s">
        <v>90</v>
      </c>
      <c r="Z58" s="1" t="s">
        <v>90</v>
      </c>
      <c r="AA58" s="1" t="s">
        <v>90</v>
      </c>
      <c r="AB58" s="1" t="s">
        <v>90</v>
      </c>
      <c r="AC58" s="1" t="s">
        <v>90</v>
      </c>
      <c r="AD58" s="1" t="s">
        <v>90</v>
      </c>
      <c r="AE58" s="1" t="s">
        <v>90</v>
      </c>
      <c r="AF58" s="1" t="s">
        <v>90</v>
      </c>
      <c r="AG58" s="1" t="s">
        <v>90</v>
      </c>
      <c r="AH58" s="1" t="s">
        <v>90</v>
      </c>
      <c r="AI58" s="1" t="s">
        <v>90</v>
      </c>
      <c r="AJ58" s="1" t="s">
        <v>90</v>
      </c>
      <c r="AK58" s="1" t="s">
        <v>90</v>
      </c>
      <c r="AL58" s="1" t="s">
        <v>90</v>
      </c>
      <c r="AM58" s="1" t="s">
        <v>90</v>
      </c>
      <c r="AN58" s="1" t="s">
        <v>90</v>
      </c>
      <c r="AO58" s="1" t="s">
        <v>90</v>
      </c>
      <c r="AP58" s="1" t="s">
        <v>90</v>
      </c>
      <c r="AQ58" s="1" t="s">
        <v>90</v>
      </c>
      <c r="AR58" s="1" t="s">
        <v>90</v>
      </c>
      <c r="AS58" s="1" t="s">
        <v>90</v>
      </c>
      <c r="AT58" s="1" t="s">
        <v>90</v>
      </c>
      <c r="AU58" s="1" t="s">
        <v>90</v>
      </c>
      <c r="AV58" s="1" t="s">
        <v>90</v>
      </c>
      <c r="AW58" s="1" t="s">
        <v>90</v>
      </c>
      <c r="AX58" s="1" t="s">
        <v>90</v>
      </c>
      <c r="AY58" s="1" t="s">
        <v>90</v>
      </c>
      <c r="AZ58" s="1" t="s">
        <v>90</v>
      </c>
      <c r="BA58" s="1" t="s">
        <v>90</v>
      </c>
      <c r="BB58" s="1" t="s">
        <v>90</v>
      </c>
      <c r="BC58" s="1" t="s">
        <v>90</v>
      </c>
      <c r="BD58" s="1" t="s">
        <v>90</v>
      </c>
      <c r="BE58" s="1" t="s">
        <v>90</v>
      </c>
      <c r="BF58" s="1" t="s">
        <v>90</v>
      </c>
      <c r="BG58" s="1" t="s">
        <v>90</v>
      </c>
      <c r="BH58" s="1" t="s">
        <v>90</v>
      </c>
      <c r="BI58" s="1" t="s">
        <v>90</v>
      </c>
      <c r="BJ58" s="1" t="s">
        <v>90</v>
      </c>
      <c r="BK58" s="1">
        <v>1</v>
      </c>
      <c r="BL58" s="1" t="s">
        <v>90</v>
      </c>
      <c r="BM58" s="1" t="s">
        <v>90</v>
      </c>
      <c r="BN58" s="1" t="s">
        <v>90</v>
      </c>
      <c r="BO58" s="1" t="s">
        <v>90</v>
      </c>
      <c r="BP58" s="1" t="s">
        <v>90</v>
      </c>
      <c r="BQ58" s="1" t="s">
        <v>90</v>
      </c>
      <c r="BR58" s="1" t="s">
        <v>90</v>
      </c>
      <c r="BS58" s="1" t="s">
        <v>90</v>
      </c>
      <c r="BT58" s="1" t="s">
        <v>90</v>
      </c>
      <c r="BU58" s="1" t="s">
        <v>90</v>
      </c>
      <c r="BV58" s="1" t="s">
        <v>90</v>
      </c>
    </row>
    <row r="59" spans="1:74" x14ac:dyDescent="0.25">
      <c r="A59"/>
      <c r="J59" s="6" t="s">
        <v>79</v>
      </c>
      <c r="K59" s="1" t="s">
        <v>90</v>
      </c>
      <c r="L59" s="1" t="s">
        <v>90</v>
      </c>
      <c r="M59" s="1" t="s">
        <v>90</v>
      </c>
      <c r="N59" s="1" t="s">
        <v>90</v>
      </c>
      <c r="O59" s="1" t="s">
        <v>90</v>
      </c>
      <c r="P59" s="1" t="s">
        <v>90</v>
      </c>
      <c r="Q59" s="1" t="s">
        <v>90</v>
      </c>
      <c r="R59" s="1" t="s">
        <v>90</v>
      </c>
      <c r="S59" s="1" t="s">
        <v>90</v>
      </c>
      <c r="T59" s="1" t="s">
        <v>90</v>
      </c>
      <c r="U59" s="1" t="s">
        <v>90</v>
      </c>
      <c r="V59" s="1" t="s">
        <v>90</v>
      </c>
      <c r="W59" s="1" t="s">
        <v>90</v>
      </c>
      <c r="X59" s="1" t="s">
        <v>90</v>
      </c>
      <c r="Y59" s="1" t="s">
        <v>90</v>
      </c>
      <c r="Z59" s="1" t="s">
        <v>90</v>
      </c>
      <c r="AA59" s="1" t="s">
        <v>90</v>
      </c>
      <c r="AB59" s="1" t="s">
        <v>90</v>
      </c>
      <c r="AC59" s="1" t="s">
        <v>90</v>
      </c>
      <c r="AD59" s="1" t="s">
        <v>90</v>
      </c>
      <c r="AE59" s="1" t="s">
        <v>90</v>
      </c>
      <c r="AF59" s="1" t="s">
        <v>90</v>
      </c>
      <c r="AG59" s="1" t="s">
        <v>90</v>
      </c>
      <c r="AH59" s="1" t="s">
        <v>90</v>
      </c>
      <c r="AI59" s="1" t="s">
        <v>90</v>
      </c>
      <c r="AJ59" s="1" t="s">
        <v>90</v>
      </c>
      <c r="AK59" s="1" t="s">
        <v>90</v>
      </c>
      <c r="AL59" s="1" t="s">
        <v>90</v>
      </c>
      <c r="AM59" s="1" t="s">
        <v>90</v>
      </c>
      <c r="AN59" s="1" t="s">
        <v>90</v>
      </c>
      <c r="AO59" s="1" t="s">
        <v>90</v>
      </c>
      <c r="AP59" s="1" t="s">
        <v>90</v>
      </c>
      <c r="AQ59" s="1" t="s">
        <v>90</v>
      </c>
      <c r="AR59" s="1" t="s">
        <v>90</v>
      </c>
      <c r="AS59" s="1" t="s">
        <v>90</v>
      </c>
      <c r="AT59" s="1" t="s">
        <v>90</v>
      </c>
      <c r="AU59" s="1" t="s">
        <v>90</v>
      </c>
      <c r="AV59" s="1" t="s">
        <v>90</v>
      </c>
      <c r="AW59" s="1" t="s">
        <v>90</v>
      </c>
      <c r="AX59" s="1" t="s">
        <v>90</v>
      </c>
      <c r="AY59" s="1" t="s">
        <v>90</v>
      </c>
      <c r="AZ59" s="1" t="s">
        <v>90</v>
      </c>
      <c r="BA59" s="1" t="s">
        <v>90</v>
      </c>
      <c r="BB59" s="1" t="s">
        <v>90</v>
      </c>
      <c r="BC59" s="1" t="s">
        <v>90</v>
      </c>
      <c r="BD59" s="1" t="s">
        <v>90</v>
      </c>
      <c r="BE59" s="1" t="s">
        <v>90</v>
      </c>
      <c r="BF59" s="1" t="s">
        <v>90</v>
      </c>
      <c r="BG59" s="1" t="s">
        <v>90</v>
      </c>
      <c r="BH59" s="1" t="s">
        <v>90</v>
      </c>
      <c r="BI59" s="1" t="s">
        <v>90</v>
      </c>
      <c r="BJ59" s="1" t="s">
        <v>90</v>
      </c>
      <c r="BK59" s="1" t="s">
        <v>90</v>
      </c>
      <c r="BL59" s="1">
        <v>1</v>
      </c>
      <c r="BM59" s="1" t="s">
        <v>90</v>
      </c>
      <c r="BN59" s="1" t="s">
        <v>90</v>
      </c>
      <c r="BO59" s="1" t="s">
        <v>90</v>
      </c>
      <c r="BP59" s="1" t="s">
        <v>90</v>
      </c>
      <c r="BQ59" s="1" t="s">
        <v>90</v>
      </c>
      <c r="BR59" s="1" t="s">
        <v>90</v>
      </c>
      <c r="BS59" s="1" t="s">
        <v>90</v>
      </c>
      <c r="BT59" s="1" t="s">
        <v>90</v>
      </c>
      <c r="BU59" s="1" t="s">
        <v>90</v>
      </c>
      <c r="BV59" s="1" t="s">
        <v>90</v>
      </c>
    </row>
    <row r="60" spans="1:74" x14ac:dyDescent="0.25">
      <c r="A60"/>
      <c r="J60" s="6" t="s">
        <v>80</v>
      </c>
      <c r="K60" s="1" t="s">
        <v>90</v>
      </c>
      <c r="L60" s="1" t="s">
        <v>90</v>
      </c>
      <c r="M60" s="1" t="s">
        <v>90</v>
      </c>
      <c r="N60" s="1" t="s">
        <v>90</v>
      </c>
      <c r="O60" s="1" t="s">
        <v>90</v>
      </c>
      <c r="P60" s="1" t="s">
        <v>90</v>
      </c>
      <c r="Q60" s="1" t="s">
        <v>90</v>
      </c>
      <c r="R60" s="1" t="s">
        <v>90</v>
      </c>
      <c r="S60" s="1" t="s">
        <v>90</v>
      </c>
      <c r="T60" s="1" t="s">
        <v>90</v>
      </c>
      <c r="U60" s="1" t="s">
        <v>90</v>
      </c>
      <c r="V60" s="1" t="s">
        <v>90</v>
      </c>
      <c r="W60" s="1" t="s">
        <v>90</v>
      </c>
      <c r="X60" s="1" t="s">
        <v>90</v>
      </c>
      <c r="Y60" s="1" t="s">
        <v>90</v>
      </c>
      <c r="Z60" s="1" t="s">
        <v>90</v>
      </c>
      <c r="AA60" s="1" t="s">
        <v>90</v>
      </c>
      <c r="AB60" s="1" t="s">
        <v>90</v>
      </c>
      <c r="AC60" s="1" t="s">
        <v>90</v>
      </c>
      <c r="AD60" s="1" t="s">
        <v>90</v>
      </c>
      <c r="AE60" s="1" t="s">
        <v>90</v>
      </c>
      <c r="AF60" s="1" t="s">
        <v>90</v>
      </c>
      <c r="AG60" s="1" t="s">
        <v>90</v>
      </c>
      <c r="AH60" s="1" t="s">
        <v>90</v>
      </c>
      <c r="AI60" s="1" t="s">
        <v>90</v>
      </c>
      <c r="AJ60" s="1" t="s">
        <v>90</v>
      </c>
      <c r="AK60" s="1" t="s">
        <v>90</v>
      </c>
      <c r="AL60" s="1" t="s">
        <v>90</v>
      </c>
      <c r="AM60" s="1" t="s">
        <v>90</v>
      </c>
      <c r="AN60" s="1" t="s">
        <v>90</v>
      </c>
      <c r="AO60" s="1" t="s">
        <v>90</v>
      </c>
      <c r="AP60" s="1" t="s">
        <v>90</v>
      </c>
      <c r="AQ60" s="1" t="s">
        <v>90</v>
      </c>
      <c r="AR60" s="1" t="s">
        <v>90</v>
      </c>
      <c r="AS60" s="1" t="s">
        <v>90</v>
      </c>
      <c r="AT60" s="1" t="s">
        <v>90</v>
      </c>
      <c r="AU60" s="1" t="s">
        <v>90</v>
      </c>
      <c r="AV60" s="1" t="s">
        <v>90</v>
      </c>
      <c r="AW60" s="1" t="s">
        <v>90</v>
      </c>
      <c r="AX60" s="1" t="s">
        <v>90</v>
      </c>
      <c r="AY60" s="1" t="s">
        <v>90</v>
      </c>
      <c r="AZ60" s="1" t="s">
        <v>90</v>
      </c>
      <c r="BA60" s="1" t="s">
        <v>90</v>
      </c>
      <c r="BB60" s="1" t="s">
        <v>90</v>
      </c>
      <c r="BC60" s="1" t="s">
        <v>90</v>
      </c>
      <c r="BD60" s="1" t="s">
        <v>90</v>
      </c>
      <c r="BE60" s="1" t="s">
        <v>90</v>
      </c>
      <c r="BF60" s="1" t="s">
        <v>90</v>
      </c>
      <c r="BG60" s="1" t="s">
        <v>90</v>
      </c>
      <c r="BH60" s="1" t="s">
        <v>90</v>
      </c>
      <c r="BI60" s="1" t="s">
        <v>90</v>
      </c>
      <c r="BJ60" s="1" t="s">
        <v>90</v>
      </c>
      <c r="BK60" s="1" t="s">
        <v>90</v>
      </c>
      <c r="BL60" s="1" t="s">
        <v>90</v>
      </c>
      <c r="BM60" s="1">
        <v>1</v>
      </c>
      <c r="BN60" s="1" t="s">
        <v>90</v>
      </c>
      <c r="BO60" s="1" t="s">
        <v>90</v>
      </c>
      <c r="BP60" s="1" t="s">
        <v>90</v>
      </c>
      <c r="BQ60" s="1" t="s">
        <v>90</v>
      </c>
      <c r="BR60" s="1" t="s">
        <v>90</v>
      </c>
      <c r="BS60" s="1" t="s">
        <v>90</v>
      </c>
      <c r="BT60" s="1" t="s">
        <v>90</v>
      </c>
      <c r="BU60" s="1" t="s">
        <v>90</v>
      </c>
    </row>
    <row r="61" spans="1:74" x14ac:dyDescent="0.25">
      <c r="A61"/>
      <c r="J61" s="6" t="s">
        <v>81</v>
      </c>
      <c r="K61" s="1" t="s">
        <v>90</v>
      </c>
      <c r="L61" s="1" t="s">
        <v>90</v>
      </c>
      <c r="M61" s="1" t="s">
        <v>90</v>
      </c>
      <c r="N61" s="1" t="s">
        <v>90</v>
      </c>
      <c r="O61" s="1" t="s">
        <v>90</v>
      </c>
      <c r="P61" s="1" t="s">
        <v>90</v>
      </c>
      <c r="Q61" s="1" t="s">
        <v>90</v>
      </c>
      <c r="R61" s="1" t="s">
        <v>90</v>
      </c>
      <c r="S61" s="1" t="s">
        <v>90</v>
      </c>
      <c r="T61" s="1" t="s">
        <v>90</v>
      </c>
      <c r="U61" s="1" t="s">
        <v>90</v>
      </c>
      <c r="V61" s="1" t="s">
        <v>90</v>
      </c>
      <c r="W61" s="1" t="s">
        <v>90</v>
      </c>
      <c r="X61" s="1" t="s">
        <v>90</v>
      </c>
      <c r="Y61" s="1" t="s">
        <v>90</v>
      </c>
      <c r="Z61" s="1" t="s">
        <v>90</v>
      </c>
      <c r="AA61" s="1" t="s">
        <v>90</v>
      </c>
      <c r="AB61" s="1" t="s">
        <v>90</v>
      </c>
      <c r="AC61" s="1" t="s">
        <v>90</v>
      </c>
      <c r="AD61" s="1" t="s">
        <v>90</v>
      </c>
      <c r="AE61" s="1" t="s">
        <v>90</v>
      </c>
      <c r="AF61" s="1" t="s">
        <v>90</v>
      </c>
      <c r="AG61" s="1" t="s">
        <v>90</v>
      </c>
      <c r="AH61" s="1" t="s">
        <v>90</v>
      </c>
      <c r="AI61" s="1" t="s">
        <v>90</v>
      </c>
      <c r="AJ61" s="1" t="s">
        <v>90</v>
      </c>
      <c r="AK61" s="1" t="s">
        <v>90</v>
      </c>
      <c r="AL61" s="1" t="s">
        <v>90</v>
      </c>
      <c r="AM61" s="1" t="s">
        <v>90</v>
      </c>
      <c r="AN61" s="1" t="s">
        <v>90</v>
      </c>
      <c r="AO61" s="1" t="s">
        <v>90</v>
      </c>
      <c r="AP61" s="1" t="s">
        <v>90</v>
      </c>
      <c r="AQ61" s="1" t="s">
        <v>90</v>
      </c>
      <c r="AR61" s="1" t="s">
        <v>90</v>
      </c>
      <c r="AS61" s="1" t="s">
        <v>90</v>
      </c>
      <c r="AT61" s="1" t="s">
        <v>90</v>
      </c>
      <c r="AU61" s="1" t="s">
        <v>90</v>
      </c>
      <c r="AV61" s="1" t="s">
        <v>90</v>
      </c>
      <c r="AW61" s="1" t="s">
        <v>90</v>
      </c>
      <c r="AX61" s="1" t="s">
        <v>90</v>
      </c>
      <c r="AY61" s="1" t="s">
        <v>90</v>
      </c>
      <c r="AZ61" s="1" t="s">
        <v>90</v>
      </c>
      <c r="BA61" s="1" t="s">
        <v>90</v>
      </c>
      <c r="BB61" s="1" t="s">
        <v>90</v>
      </c>
      <c r="BC61" s="1" t="s">
        <v>90</v>
      </c>
      <c r="BD61" s="1" t="s">
        <v>90</v>
      </c>
      <c r="BE61" s="1" t="s">
        <v>90</v>
      </c>
      <c r="BF61" s="1" t="s">
        <v>90</v>
      </c>
      <c r="BG61" s="1" t="s">
        <v>90</v>
      </c>
      <c r="BH61" s="1" t="s">
        <v>90</v>
      </c>
      <c r="BI61" s="1" t="s">
        <v>90</v>
      </c>
      <c r="BJ61" s="1" t="s">
        <v>90</v>
      </c>
      <c r="BK61" s="1" t="s">
        <v>90</v>
      </c>
      <c r="BL61" s="1" t="s">
        <v>90</v>
      </c>
      <c r="BM61" s="1" t="s">
        <v>90</v>
      </c>
      <c r="BN61" s="1">
        <v>1</v>
      </c>
      <c r="BO61" s="1" t="s">
        <v>90</v>
      </c>
      <c r="BP61" s="1" t="s">
        <v>90</v>
      </c>
      <c r="BQ61" s="1" t="s">
        <v>90</v>
      </c>
      <c r="BR61" s="1" t="s">
        <v>90</v>
      </c>
      <c r="BS61" s="1" t="s">
        <v>90</v>
      </c>
      <c r="BT61" s="1" t="s">
        <v>90</v>
      </c>
      <c r="BU61" s="1" t="s">
        <v>90</v>
      </c>
    </row>
    <row r="62" spans="1:74" x14ac:dyDescent="0.25">
      <c r="A62"/>
      <c r="J62" s="6" t="s">
        <v>82</v>
      </c>
      <c r="K62" s="1" t="s">
        <v>90</v>
      </c>
      <c r="L62" s="1" t="s">
        <v>90</v>
      </c>
      <c r="M62" s="1" t="s">
        <v>90</v>
      </c>
      <c r="N62" s="1" t="s">
        <v>90</v>
      </c>
      <c r="O62" s="1" t="s">
        <v>90</v>
      </c>
      <c r="P62" s="1" t="s">
        <v>90</v>
      </c>
      <c r="Q62" s="1" t="s">
        <v>90</v>
      </c>
      <c r="R62" s="1" t="s">
        <v>90</v>
      </c>
      <c r="S62" s="1" t="s">
        <v>90</v>
      </c>
      <c r="T62" s="1" t="s">
        <v>90</v>
      </c>
      <c r="U62" s="1" t="s">
        <v>90</v>
      </c>
      <c r="V62" s="1" t="s">
        <v>90</v>
      </c>
      <c r="W62" s="1" t="s">
        <v>90</v>
      </c>
      <c r="X62" s="1" t="s">
        <v>90</v>
      </c>
      <c r="Y62" s="1" t="s">
        <v>90</v>
      </c>
      <c r="Z62" s="1" t="s">
        <v>90</v>
      </c>
      <c r="AA62" s="1" t="s">
        <v>90</v>
      </c>
      <c r="AB62" s="1" t="s">
        <v>90</v>
      </c>
      <c r="AC62" s="1" t="s">
        <v>90</v>
      </c>
      <c r="AD62" s="1" t="s">
        <v>90</v>
      </c>
      <c r="AE62" s="1" t="s">
        <v>90</v>
      </c>
      <c r="AF62" s="1" t="s">
        <v>90</v>
      </c>
      <c r="AG62" s="1" t="s">
        <v>90</v>
      </c>
      <c r="AH62" s="1" t="s">
        <v>90</v>
      </c>
      <c r="AI62" s="1" t="s">
        <v>90</v>
      </c>
      <c r="AJ62" s="1" t="s">
        <v>90</v>
      </c>
      <c r="AK62" s="1" t="s">
        <v>90</v>
      </c>
      <c r="AL62" s="1" t="s">
        <v>90</v>
      </c>
      <c r="AM62" s="1" t="s">
        <v>90</v>
      </c>
      <c r="AN62" s="1" t="s">
        <v>90</v>
      </c>
      <c r="AO62" s="1" t="s">
        <v>90</v>
      </c>
      <c r="AP62" s="1" t="s">
        <v>90</v>
      </c>
      <c r="AQ62" s="1" t="s">
        <v>90</v>
      </c>
      <c r="AR62" s="1" t="s">
        <v>90</v>
      </c>
      <c r="AS62" s="1" t="s">
        <v>90</v>
      </c>
      <c r="AT62" s="1" t="s">
        <v>90</v>
      </c>
      <c r="AU62" s="1" t="s">
        <v>90</v>
      </c>
      <c r="AV62" s="1" t="s">
        <v>90</v>
      </c>
      <c r="AW62" s="1" t="s">
        <v>90</v>
      </c>
      <c r="AX62" s="1" t="s">
        <v>90</v>
      </c>
      <c r="AY62" s="1" t="s">
        <v>90</v>
      </c>
      <c r="AZ62" s="1" t="s">
        <v>90</v>
      </c>
      <c r="BA62" s="1" t="s">
        <v>90</v>
      </c>
      <c r="BB62" s="1" t="s">
        <v>90</v>
      </c>
      <c r="BC62" s="1" t="s">
        <v>90</v>
      </c>
      <c r="BD62" s="1" t="s">
        <v>90</v>
      </c>
      <c r="BE62" s="1" t="s">
        <v>90</v>
      </c>
      <c r="BF62" s="1" t="s">
        <v>90</v>
      </c>
      <c r="BG62" s="1" t="s">
        <v>90</v>
      </c>
      <c r="BH62" s="1" t="s">
        <v>90</v>
      </c>
      <c r="BI62" s="1" t="s">
        <v>90</v>
      </c>
      <c r="BJ62" s="1" t="s">
        <v>90</v>
      </c>
      <c r="BK62" s="1" t="s">
        <v>90</v>
      </c>
      <c r="BL62" s="1" t="s">
        <v>90</v>
      </c>
      <c r="BM62" s="1" t="s">
        <v>90</v>
      </c>
      <c r="BN62" s="1" t="s">
        <v>90</v>
      </c>
      <c r="BO62" s="1">
        <v>1</v>
      </c>
      <c r="BP62" s="1" t="s">
        <v>90</v>
      </c>
      <c r="BQ62" s="1" t="s">
        <v>90</v>
      </c>
      <c r="BR62" s="1" t="s">
        <v>90</v>
      </c>
      <c r="BS62" s="1" t="s">
        <v>90</v>
      </c>
      <c r="BT62" s="1" t="s">
        <v>90</v>
      </c>
      <c r="BU62" s="1" t="s">
        <v>90</v>
      </c>
    </row>
    <row r="63" spans="1:74" x14ac:dyDescent="0.25">
      <c r="A63"/>
      <c r="J63" s="6" t="s">
        <v>83</v>
      </c>
      <c r="K63" s="1" t="s">
        <v>90</v>
      </c>
      <c r="L63" s="1" t="s">
        <v>90</v>
      </c>
      <c r="M63" s="1" t="s">
        <v>90</v>
      </c>
      <c r="N63" s="1" t="s">
        <v>90</v>
      </c>
      <c r="O63" s="1" t="s">
        <v>90</v>
      </c>
      <c r="P63" s="1" t="s">
        <v>90</v>
      </c>
      <c r="Q63" s="1" t="s">
        <v>90</v>
      </c>
      <c r="R63" s="1" t="s">
        <v>90</v>
      </c>
      <c r="S63" s="1" t="s">
        <v>90</v>
      </c>
      <c r="T63" s="1" t="s">
        <v>90</v>
      </c>
      <c r="U63" s="1" t="s">
        <v>90</v>
      </c>
      <c r="V63" s="1" t="s">
        <v>90</v>
      </c>
      <c r="W63" s="1" t="s">
        <v>90</v>
      </c>
      <c r="X63" s="1" t="s">
        <v>90</v>
      </c>
      <c r="Y63" s="1" t="s">
        <v>90</v>
      </c>
      <c r="Z63" s="1" t="s">
        <v>90</v>
      </c>
      <c r="AA63" s="1" t="s">
        <v>90</v>
      </c>
      <c r="AB63" s="1" t="s">
        <v>90</v>
      </c>
      <c r="AC63" s="1" t="s">
        <v>90</v>
      </c>
      <c r="AD63" s="1" t="s">
        <v>90</v>
      </c>
      <c r="AE63" s="1" t="s">
        <v>90</v>
      </c>
      <c r="AF63" s="1" t="s">
        <v>90</v>
      </c>
      <c r="AG63" s="1" t="s">
        <v>90</v>
      </c>
      <c r="AH63" s="1" t="s">
        <v>90</v>
      </c>
      <c r="AI63" s="1" t="s">
        <v>90</v>
      </c>
      <c r="AJ63" s="1" t="s">
        <v>90</v>
      </c>
      <c r="AK63" s="1" t="s">
        <v>90</v>
      </c>
      <c r="AL63" s="1" t="s">
        <v>90</v>
      </c>
      <c r="AM63" s="1" t="s">
        <v>90</v>
      </c>
      <c r="AN63" s="1" t="s">
        <v>90</v>
      </c>
      <c r="AO63" s="1" t="s">
        <v>90</v>
      </c>
      <c r="AP63" s="1" t="s">
        <v>90</v>
      </c>
      <c r="AQ63" s="1" t="s">
        <v>90</v>
      </c>
      <c r="AR63" s="1" t="s">
        <v>90</v>
      </c>
      <c r="AS63" s="1" t="s">
        <v>90</v>
      </c>
      <c r="AT63" s="1" t="s">
        <v>90</v>
      </c>
      <c r="AU63" s="1" t="s">
        <v>90</v>
      </c>
      <c r="AV63" s="1" t="s">
        <v>90</v>
      </c>
      <c r="AW63" s="1" t="s">
        <v>90</v>
      </c>
      <c r="AX63" s="1" t="s">
        <v>90</v>
      </c>
      <c r="AY63" s="1" t="s">
        <v>90</v>
      </c>
      <c r="AZ63" s="1" t="s">
        <v>90</v>
      </c>
      <c r="BA63" s="1" t="s">
        <v>90</v>
      </c>
      <c r="BB63" s="1" t="s">
        <v>90</v>
      </c>
      <c r="BC63" s="1" t="s">
        <v>90</v>
      </c>
      <c r="BD63" s="1" t="s">
        <v>90</v>
      </c>
      <c r="BE63" s="1" t="s">
        <v>90</v>
      </c>
      <c r="BF63" s="1" t="s">
        <v>90</v>
      </c>
      <c r="BG63" s="1" t="s">
        <v>90</v>
      </c>
      <c r="BH63" s="1" t="s">
        <v>90</v>
      </c>
      <c r="BI63" s="1" t="s">
        <v>90</v>
      </c>
      <c r="BJ63" s="1" t="s">
        <v>90</v>
      </c>
      <c r="BK63" s="1" t="s">
        <v>90</v>
      </c>
      <c r="BL63" s="1" t="s">
        <v>90</v>
      </c>
      <c r="BM63" s="1" t="s">
        <v>90</v>
      </c>
      <c r="BN63" s="1" t="s">
        <v>90</v>
      </c>
      <c r="BO63" s="1" t="s">
        <v>90</v>
      </c>
      <c r="BP63" s="1">
        <v>1</v>
      </c>
      <c r="BQ63" s="1" t="s">
        <v>90</v>
      </c>
      <c r="BR63" s="1" t="s">
        <v>90</v>
      </c>
      <c r="BS63" s="1" t="s">
        <v>90</v>
      </c>
      <c r="BT63" s="1" t="s">
        <v>90</v>
      </c>
      <c r="BU63" s="1" t="s">
        <v>90</v>
      </c>
    </row>
    <row r="64" spans="1:74" x14ac:dyDescent="0.25">
      <c r="A64"/>
      <c r="J64" s="6" t="s">
        <v>84</v>
      </c>
      <c r="K64" s="1" t="s">
        <v>90</v>
      </c>
      <c r="L64" s="1" t="s">
        <v>90</v>
      </c>
      <c r="M64" s="1" t="s">
        <v>90</v>
      </c>
      <c r="N64" s="1" t="s">
        <v>90</v>
      </c>
      <c r="O64" s="1" t="s">
        <v>90</v>
      </c>
      <c r="P64" s="1" t="s">
        <v>90</v>
      </c>
      <c r="Q64" s="1" t="s">
        <v>90</v>
      </c>
      <c r="R64" s="1" t="s">
        <v>90</v>
      </c>
      <c r="S64" s="1" t="s">
        <v>90</v>
      </c>
      <c r="T64" s="1" t="s">
        <v>90</v>
      </c>
      <c r="U64" s="1" t="s">
        <v>90</v>
      </c>
      <c r="V64" s="1" t="s">
        <v>90</v>
      </c>
      <c r="W64" s="1" t="s">
        <v>90</v>
      </c>
      <c r="X64" s="1" t="s">
        <v>90</v>
      </c>
      <c r="Y64" s="1" t="s">
        <v>90</v>
      </c>
      <c r="Z64" s="1" t="s">
        <v>90</v>
      </c>
      <c r="AA64" s="1" t="s">
        <v>90</v>
      </c>
      <c r="AB64" s="1" t="s">
        <v>90</v>
      </c>
      <c r="AC64" s="1" t="s">
        <v>90</v>
      </c>
      <c r="AD64" s="1" t="s">
        <v>90</v>
      </c>
      <c r="AE64" s="1" t="s">
        <v>90</v>
      </c>
      <c r="AF64" s="1" t="s">
        <v>90</v>
      </c>
      <c r="AG64" s="1" t="s">
        <v>90</v>
      </c>
      <c r="AH64" s="1" t="s">
        <v>90</v>
      </c>
      <c r="AI64" s="1" t="s">
        <v>90</v>
      </c>
      <c r="AJ64" s="1" t="s">
        <v>90</v>
      </c>
      <c r="AK64" s="1" t="s">
        <v>90</v>
      </c>
      <c r="AL64" s="1" t="s">
        <v>90</v>
      </c>
      <c r="AM64" s="1" t="s">
        <v>90</v>
      </c>
      <c r="AN64" s="1" t="s">
        <v>90</v>
      </c>
      <c r="AO64" s="1" t="s">
        <v>90</v>
      </c>
      <c r="AP64" s="1" t="s">
        <v>90</v>
      </c>
      <c r="AQ64" s="1" t="s">
        <v>90</v>
      </c>
      <c r="AR64" s="1" t="s">
        <v>90</v>
      </c>
      <c r="AS64" s="1" t="s">
        <v>90</v>
      </c>
      <c r="AT64" s="1" t="s">
        <v>90</v>
      </c>
      <c r="AU64" s="1" t="s">
        <v>90</v>
      </c>
      <c r="AV64" s="1" t="s">
        <v>90</v>
      </c>
      <c r="AW64" s="1" t="s">
        <v>90</v>
      </c>
      <c r="AX64" s="1" t="s">
        <v>90</v>
      </c>
      <c r="AY64" s="1" t="s">
        <v>90</v>
      </c>
      <c r="AZ64" s="1" t="s">
        <v>90</v>
      </c>
      <c r="BA64" s="1" t="s">
        <v>90</v>
      </c>
      <c r="BB64" s="1" t="s">
        <v>90</v>
      </c>
      <c r="BC64" s="1" t="s">
        <v>90</v>
      </c>
      <c r="BD64" s="1" t="s">
        <v>90</v>
      </c>
      <c r="BE64" s="1" t="s">
        <v>90</v>
      </c>
      <c r="BF64" s="1" t="s">
        <v>90</v>
      </c>
      <c r="BG64" s="1" t="s">
        <v>90</v>
      </c>
      <c r="BH64" s="1" t="s">
        <v>90</v>
      </c>
      <c r="BI64" s="1" t="s">
        <v>90</v>
      </c>
      <c r="BJ64" s="1" t="s">
        <v>90</v>
      </c>
      <c r="BK64" s="1" t="s">
        <v>90</v>
      </c>
      <c r="BL64" s="1" t="s">
        <v>90</v>
      </c>
      <c r="BM64" s="1" t="s">
        <v>90</v>
      </c>
      <c r="BN64" s="1" t="s">
        <v>90</v>
      </c>
      <c r="BO64" s="1" t="s">
        <v>90</v>
      </c>
      <c r="BP64" s="1" t="s">
        <v>90</v>
      </c>
      <c r="BQ64" s="1">
        <v>1</v>
      </c>
      <c r="BR64" s="1" t="s">
        <v>90</v>
      </c>
      <c r="BS64" s="1" t="s">
        <v>90</v>
      </c>
      <c r="BT64" s="1" t="s">
        <v>90</v>
      </c>
      <c r="BU64" s="1" t="s">
        <v>90</v>
      </c>
    </row>
    <row r="65" spans="1:74" x14ac:dyDescent="0.25">
      <c r="A65"/>
      <c r="J65" s="6" t="s">
        <v>85</v>
      </c>
      <c r="K65" s="1" t="s">
        <v>90</v>
      </c>
      <c r="L65" s="1" t="s">
        <v>90</v>
      </c>
      <c r="M65" s="1" t="s">
        <v>90</v>
      </c>
      <c r="N65" s="1" t="s">
        <v>90</v>
      </c>
      <c r="O65" s="1" t="s">
        <v>90</v>
      </c>
      <c r="P65" s="1" t="s">
        <v>90</v>
      </c>
      <c r="Q65" s="1" t="s">
        <v>90</v>
      </c>
      <c r="R65" s="1" t="s">
        <v>90</v>
      </c>
      <c r="S65" s="1" t="s">
        <v>90</v>
      </c>
      <c r="T65" s="1" t="s">
        <v>90</v>
      </c>
      <c r="U65" s="1" t="s">
        <v>90</v>
      </c>
      <c r="V65" s="1" t="s">
        <v>90</v>
      </c>
      <c r="W65" s="1" t="s">
        <v>90</v>
      </c>
      <c r="X65" s="1" t="s">
        <v>90</v>
      </c>
      <c r="Y65" s="1" t="s">
        <v>90</v>
      </c>
      <c r="Z65" s="1" t="s">
        <v>90</v>
      </c>
      <c r="AA65" s="1" t="s">
        <v>90</v>
      </c>
      <c r="AB65" s="1" t="s">
        <v>90</v>
      </c>
      <c r="AC65" s="1" t="s">
        <v>90</v>
      </c>
      <c r="AD65" s="1" t="s">
        <v>90</v>
      </c>
      <c r="AE65" s="1" t="s">
        <v>90</v>
      </c>
      <c r="AF65" s="1" t="s">
        <v>90</v>
      </c>
      <c r="AG65" s="1" t="s">
        <v>90</v>
      </c>
      <c r="AH65" s="1" t="s">
        <v>90</v>
      </c>
      <c r="AI65" s="1" t="s">
        <v>90</v>
      </c>
      <c r="AJ65" s="1" t="s">
        <v>90</v>
      </c>
      <c r="AK65" s="1" t="s">
        <v>90</v>
      </c>
      <c r="AL65" s="1" t="s">
        <v>90</v>
      </c>
      <c r="AM65" s="1" t="s">
        <v>90</v>
      </c>
      <c r="AN65" s="1" t="s">
        <v>90</v>
      </c>
      <c r="AO65" s="1" t="s">
        <v>90</v>
      </c>
      <c r="AP65" s="1" t="s">
        <v>90</v>
      </c>
      <c r="AQ65" s="1" t="s">
        <v>90</v>
      </c>
      <c r="AR65" s="1" t="s">
        <v>90</v>
      </c>
      <c r="AS65" s="1" t="s">
        <v>90</v>
      </c>
      <c r="AT65" s="1" t="s">
        <v>90</v>
      </c>
      <c r="AU65" s="1" t="s">
        <v>90</v>
      </c>
      <c r="AV65" s="1" t="s">
        <v>90</v>
      </c>
      <c r="AW65" s="1" t="s">
        <v>90</v>
      </c>
      <c r="AX65" s="1" t="s">
        <v>90</v>
      </c>
      <c r="AY65" s="1" t="s">
        <v>90</v>
      </c>
      <c r="AZ65" s="1" t="s">
        <v>90</v>
      </c>
      <c r="BA65" s="1" t="s">
        <v>90</v>
      </c>
      <c r="BB65" s="1" t="s">
        <v>90</v>
      </c>
      <c r="BC65" s="1" t="s">
        <v>90</v>
      </c>
      <c r="BD65" s="1" t="s">
        <v>90</v>
      </c>
      <c r="BE65" s="1" t="s">
        <v>90</v>
      </c>
      <c r="BF65" s="1" t="s">
        <v>90</v>
      </c>
      <c r="BG65" s="1" t="s">
        <v>90</v>
      </c>
      <c r="BH65" s="1" t="s">
        <v>90</v>
      </c>
      <c r="BI65" s="1" t="s">
        <v>90</v>
      </c>
      <c r="BJ65" s="1" t="s">
        <v>90</v>
      </c>
      <c r="BK65" s="1" t="s">
        <v>90</v>
      </c>
      <c r="BL65" s="1" t="s">
        <v>90</v>
      </c>
      <c r="BM65" s="1" t="s">
        <v>90</v>
      </c>
      <c r="BN65" s="1" t="s">
        <v>90</v>
      </c>
      <c r="BO65" s="1" t="s">
        <v>90</v>
      </c>
      <c r="BP65" s="1" t="s">
        <v>90</v>
      </c>
      <c r="BQ65" s="1" t="s">
        <v>90</v>
      </c>
      <c r="BR65" s="1">
        <v>1</v>
      </c>
      <c r="BS65" s="1" t="s">
        <v>90</v>
      </c>
      <c r="BT65" s="1" t="s">
        <v>90</v>
      </c>
      <c r="BU65" s="1" t="s">
        <v>90</v>
      </c>
    </row>
    <row r="66" spans="1:74" x14ac:dyDescent="0.25">
      <c r="A66"/>
      <c r="J66" s="6" t="s">
        <v>86</v>
      </c>
      <c r="K66" s="1" t="s">
        <v>90</v>
      </c>
      <c r="L66" s="1" t="s">
        <v>90</v>
      </c>
      <c r="M66" s="1" t="s">
        <v>90</v>
      </c>
      <c r="N66" s="1" t="s">
        <v>90</v>
      </c>
      <c r="O66" s="1" t="s">
        <v>90</v>
      </c>
      <c r="P66" s="1" t="s">
        <v>90</v>
      </c>
      <c r="Q66" s="1" t="s">
        <v>90</v>
      </c>
      <c r="R66" s="1" t="s">
        <v>90</v>
      </c>
      <c r="S66" s="1" t="s">
        <v>90</v>
      </c>
      <c r="T66" s="1" t="s">
        <v>90</v>
      </c>
      <c r="U66" s="1" t="s">
        <v>90</v>
      </c>
      <c r="V66" s="1" t="s">
        <v>90</v>
      </c>
      <c r="W66" s="1" t="s">
        <v>90</v>
      </c>
      <c r="X66" s="1" t="s">
        <v>90</v>
      </c>
      <c r="Y66" s="1" t="s">
        <v>90</v>
      </c>
      <c r="Z66" s="1" t="s">
        <v>90</v>
      </c>
      <c r="AA66" s="1" t="s">
        <v>90</v>
      </c>
      <c r="AB66" s="1" t="s">
        <v>90</v>
      </c>
      <c r="AC66" s="1" t="s">
        <v>90</v>
      </c>
      <c r="AD66" s="1" t="s">
        <v>90</v>
      </c>
      <c r="AE66" s="1" t="s">
        <v>90</v>
      </c>
      <c r="AF66" s="1" t="s">
        <v>90</v>
      </c>
      <c r="AG66" s="1" t="s">
        <v>90</v>
      </c>
      <c r="AH66" s="1" t="s">
        <v>90</v>
      </c>
      <c r="AI66" s="1" t="s">
        <v>90</v>
      </c>
      <c r="AJ66" s="1" t="s">
        <v>90</v>
      </c>
      <c r="AK66" s="1" t="s">
        <v>90</v>
      </c>
      <c r="AL66" s="1" t="s">
        <v>90</v>
      </c>
      <c r="AM66" s="1" t="s">
        <v>90</v>
      </c>
      <c r="AN66" s="1" t="s">
        <v>90</v>
      </c>
      <c r="AO66" s="1" t="s">
        <v>90</v>
      </c>
      <c r="AP66" s="1" t="s">
        <v>90</v>
      </c>
      <c r="AQ66" s="1" t="s">
        <v>90</v>
      </c>
      <c r="AR66" s="1" t="s">
        <v>90</v>
      </c>
      <c r="AS66" s="1" t="s">
        <v>90</v>
      </c>
      <c r="AT66" s="1" t="s">
        <v>90</v>
      </c>
      <c r="AU66" s="1" t="s">
        <v>90</v>
      </c>
      <c r="AV66" s="1" t="s">
        <v>90</v>
      </c>
      <c r="AW66" s="1" t="s">
        <v>90</v>
      </c>
      <c r="AX66" s="1" t="s">
        <v>90</v>
      </c>
      <c r="AY66" s="1" t="s">
        <v>90</v>
      </c>
      <c r="AZ66" s="1" t="s">
        <v>90</v>
      </c>
      <c r="BA66" s="1" t="s">
        <v>90</v>
      </c>
      <c r="BB66" s="1" t="s">
        <v>90</v>
      </c>
      <c r="BC66" s="1" t="s">
        <v>90</v>
      </c>
      <c r="BD66" s="1" t="s">
        <v>90</v>
      </c>
      <c r="BE66" s="1" t="s">
        <v>90</v>
      </c>
      <c r="BF66" s="1" t="s">
        <v>90</v>
      </c>
      <c r="BG66" s="1" t="s">
        <v>90</v>
      </c>
      <c r="BH66" s="1" t="s">
        <v>90</v>
      </c>
      <c r="BI66" s="1" t="s">
        <v>90</v>
      </c>
      <c r="BJ66" s="1" t="s">
        <v>90</v>
      </c>
      <c r="BK66" s="1" t="s">
        <v>90</v>
      </c>
      <c r="BL66" s="1" t="s">
        <v>90</v>
      </c>
      <c r="BM66" s="1" t="s">
        <v>90</v>
      </c>
      <c r="BN66" s="1" t="s">
        <v>90</v>
      </c>
      <c r="BO66" s="1" t="s">
        <v>90</v>
      </c>
      <c r="BP66" s="1" t="s">
        <v>90</v>
      </c>
      <c r="BQ66" s="1" t="s">
        <v>90</v>
      </c>
      <c r="BR66" s="1" t="s">
        <v>90</v>
      </c>
      <c r="BS66" s="1">
        <v>1</v>
      </c>
      <c r="BT66" s="1" t="s">
        <v>90</v>
      </c>
      <c r="BU66" s="1" t="s">
        <v>90</v>
      </c>
    </row>
    <row r="67" spans="1:74" x14ac:dyDescent="0.25">
      <c r="A67"/>
      <c r="J67" s="6" t="s">
        <v>87</v>
      </c>
      <c r="K67" s="1" t="s">
        <v>90</v>
      </c>
      <c r="L67" s="1" t="s">
        <v>90</v>
      </c>
      <c r="M67" s="1" t="s">
        <v>90</v>
      </c>
      <c r="N67" s="1" t="s">
        <v>90</v>
      </c>
      <c r="O67" s="1" t="s">
        <v>90</v>
      </c>
      <c r="P67" s="1" t="s">
        <v>90</v>
      </c>
      <c r="Q67" s="1" t="s">
        <v>90</v>
      </c>
      <c r="R67" s="1" t="s">
        <v>90</v>
      </c>
      <c r="S67" s="1" t="s">
        <v>90</v>
      </c>
      <c r="T67" s="1" t="s">
        <v>90</v>
      </c>
      <c r="U67" s="1" t="s">
        <v>90</v>
      </c>
      <c r="V67" s="1" t="s">
        <v>90</v>
      </c>
      <c r="W67" s="1" t="s">
        <v>90</v>
      </c>
      <c r="X67" s="1" t="s">
        <v>90</v>
      </c>
      <c r="Y67" s="1" t="s">
        <v>90</v>
      </c>
      <c r="Z67" s="1" t="s">
        <v>90</v>
      </c>
      <c r="AA67" s="1" t="s">
        <v>90</v>
      </c>
      <c r="AB67" s="1" t="s">
        <v>90</v>
      </c>
      <c r="AC67" s="1" t="s">
        <v>90</v>
      </c>
      <c r="AD67" s="1" t="s">
        <v>90</v>
      </c>
      <c r="AE67" s="1" t="s">
        <v>90</v>
      </c>
      <c r="AF67" s="1" t="s">
        <v>90</v>
      </c>
      <c r="AG67" s="1" t="s">
        <v>90</v>
      </c>
      <c r="AH67" s="1" t="s">
        <v>90</v>
      </c>
      <c r="AI67" s="1" t="s">
        <v>90</v>
      </c>
      <c r="AJ67" s="1" t="s">
        <v>90</v>
      </c>
      <c r="AK67" s="1" t="s">
        <v>90</v>
      </c>
      <c r="AL67" s="1" t="s">
        <v>90</v>
      </c>
      <c r="AM67" s="1" t="s">
        <v>90</v>
      </c>
      <c r="AN67" s="1" t="s">
        <v>90</v>
      </c>
      <c r="AO67" s="1" t="s">
        <v>90</v>
      </c>
      <c r="AP67" s="1" t="s">
        <v>90</v>
      </c>
      <c r="AQ67" s="1" t="s">
        <v>90</v>
      </c>
      <c r="AR67" s="1" t="s">
        <v>90</v>
      </c>
      <c r="AS67" s="1" t="s">
        <v>90</v>
      </c>
      <c r="AT67" s="1" t="s">
        <v>90</v>
      </c>
      <c r="AU67" s="1" t="s">
        <v>90</v>
      </c>
      <c r="AV67" s="1" t="s">
        <v>90</v>
      </c>
      <c r="AW67" s="1" t="s">
        <v>90</v>
      </c>
      <c r="AX67" s="1" t="s">
        <v>90</v>
      </c>
      <c r="AY67" s="1" t="s">
        <v>90</v>
      </c>
      <c r="AZ67" s="1" t="s">
        <v>90</v>
      </c>
      <c r="BA67" s="1" t="s">
        <v>90</v>
      </c>
      <c r="BB67" s="1" t="s">
        <v>90</v>
      </c>
      <c r="BC67" s="1" t="s">
        <v>90</v>
      </c>
      <c r="BD67" s="1" t="s">
        <v>90</v>
      </c>
      <c r="BE67" s="1" t="s">
        <v>90</v>
      </c>
      <c r="BF67" s="1" t="s">
        <v>90</v>
      </c>
      <c r="BG67" s="1" t="s">
        <v>90</v>
      </c>
      <c r="BH67" s="1" t="s">
        <v>90</v>
      </c>
      <c r="BI67" s="1" t="s">
        <v>90</v>
      </c>
      <c r="BJ67" s="1" t="s">
        <v>90</v>
      </c>
      <c r="BK67" s="1" t="s">
        <v>90</v>
      </c>
      <c r="BL67" s="1" t="s">
        <v>90</v>
      </c>
      <c r="BM67" s="1" t="s">
        <v>90</v>
      </c>
      <c r="BN67" s="1" t="s">
        <v>90</v>
      </c>
      <c r="BO67" s="1" t="s">
        <v>90</v>
      </c>
      <c r="BP67" s="1" t="s">
        <v>90</v>
      </c>
      <c r="BQ67" s="1" t="s">
        <v>90</v>
      </c>
      <c r="BR67" s="1" t="s">
        <v>90</v>
      </c>
      <c r="BS67" s="1" t="s">
        <v>90</v>
      </c>
      <c r="BT67" s="1">
        <v>1</v>
      </c>
      <c r="BU67" s="1" t="s">
        <v>90</v>
      </c>
    </row>
    <row r="68" spans="1:74" x14ac:dyDescent="0.25">
      <c r="A68"/>
      <c r="J68" s="6" t="s">
        <v>88</v>
      </c>
      <c r="K68" s="1" t="s">
        <v>90</v>
      </c>
      <c r="L68" s="1" t="s">
        <v>90</v>
      </c>
      <c r="M68" s="1" t="s">
        <v>90</v>
      </c>
      <c r="N68" s="1" t="s">
        <v>90</v>
      </c>
      <c r="O68" s="1" t="s">
        <v>90</v>
      </c>
      <c r="P68" s="1" t="s">
        <v>90</v>
      </c>
      <c r="Q68" s="1" t="s">
        <v>90</v>
      </c>
      <c r="R68" s="1" t="s">
        <v>90</v>
      </c>
      <c r="S68" s="1" t="s">
        <v>90</v>
      </c>
      <c r="T68" s="1" t="s">
        <v>90</v>
      </c>
      <c r="U68" s="1" t="s">
        <v>90</v>
      </c>
      <c r="V68" s="1" t="s">
        <v>90</v>
      </c>
      <c r="W68" s="1" t="s">
        <v>90</v>
      </c>
      <c r="X68" s="1" t="s">
        <v>90</v>
      </c>
      <c r="Y68" s="1" t="s">
        <v>90</v>
      </c>
      <c r="Z68" s="1" t="s">
        <v>90</v>
      </c>
      <c r="AA68" s="1" t="s">
        <v>90</v>
      </c>
      <c r="AB68" s="1" t="s">
        <v>90</v>
      </c>
      <c r="AC68" s="1" t="s">
        <v>90</v>
      </c>
      <c r="AD68" s="1" t="s">
        <v>90</v>
      </c>
      <c r="AE68" s="1" t="s">
        <v>90</v>
      </c>
      <c r="AF68" s="1" t="s">
        <v>90</v>
      </c>
      <c r="AG68" s="1" t="s">
        <v>90</v>
      </c>
      <c r="AH68" s="1" t="s">
        <v>90</v>
      </c>
      <c r="AI68" s="1" t="s">
        <v>90</v>
      </c>
      <c r="AJ68" s="1" t="s">
        <v>90</v>
      </c>
      <c r="AK68" s="1" t="s">
        <v>90</v>
      </c>
      <c r="AL68" s="1" t="s">
        <v>90</v>
      </c>
      <c r="AM68" s="1" t="s">
        <v>90</v>
      </c>
      <c r="AN68" s="1" t="s">
        <v>90</v>
      </c>
      <c r="AO68" s="1" t="s">
        <v>90</v>
      </c>
      <c r="AP68" s="1" t="s">
        <v>90</v>
      </c>
      <c r="AQ68" s="1" t="s">
        <v>90</v>
      </c>
      <c r="AR68" s="1" t="s">
        <v>90</v>
      </c>
      <c r="AS68" s="1" t="s">
        <v>90</v>
      </c>
      <c r="AT68" s="1" t="s">
        <v>90</v>
      </c>
      <c r="AU68" s="1" t="s">
        <v>90</v>
      </c>
      <c r="AV68" s="1" t="s">
        <v>90</v>
      </c>
      <c r="AW68" s="1" t="s">
        <v>90</v>
      </c>
      <c r="AX68" s="1" t="s">
        <v>90</v>
      </c>
      <c r="AY68" s="1" t="s">
        <v>90</v>
      </c>
      <c r="AZ68" s="1" t="s">
        <v>90</v>
      </c>
      <c r="BA68" s="1" t="s">
        <v>90</v>
      </c>
      <c r="BB68" s="1" t="s">
        <v>90</v>
      </c>
      <c r="BC68" s="1" t="s">
        <v>90</v>
      </c>
      <c r="BD68" s="1" t="s">
        <v>90</v>
      </c>
      <c r="BE68" s="1" t="s">
        <v>90</v>
      </c>
      <c r="BF68" s="1" t="s">
        <v>90</v>
      </c>
      <c r="BG68" s="1" t="s">
        <v>90</v>
      </c>
      <c r="BH68" s="1" t="s">
        <v>90</v>
      </c>
      <c r="BI68" s="1" t="s">
        <v>90</v>
      </c>
      <c r="BJ68" s="1" t="s">
        <v>90</v>
      </c>
      <c r="BK68" s="1" t="s">
        <v>90</v>
      </c>
      <c r="BL68" s="1" t="s">
        <v>90</v>
      </c>
      <c r="BM68" s="1" t="s">
        <v>90</v>
      </c>
      <c r="BN68" s="1" t="s">
        <v>90</v>
      </c>
      <c r="BO68" s="1" t="s">
        <v>90</v>
      </c>
      <c r="BP68" s="1" t="s">
        <v>90</v>
      </c>
      <c r="BQ68" s="1" t="s">
        <v>90</v>
      </c>
      <c r="BR68" s="1" t="s">
        <v>90</v>
      </c>
      <c r="BS68" s="1" t="s">
        <v>90</v>
      </c>
      <c r="BT68" s="1" t="s">
        <v>90</v>
      </c>
      <c r="BU68" s="1">
        <v>1</v>
      </c>
      <c r="BV68" s="1" t="s">
        <v>90</v>
      </c>
    </row>
    <row r="69" spans="1:74" x14ac:dyDescent="0.25">
      <c r="A69"/>
      <c r="J69" s="6" t="s">
        <v>89</v>
      </c>
      <c r="K69" s="1" t="s">
        <v>90</v>
      </c>
      <c r="L69" s="1" t="s">
        <v>90</v>
      </c>
      <c r="M69" s="1" t="s">
        <v>90</v>
      </c>
      <c r="N69" s="1" t="s">
        <v>90</v>
      </c>
      <c r="O69" s="1" t="s">
        <v>90</v>
      </c>
      <c r="P69" s="1" t="s">
        <v>90</v>
      </c>
      <c r="Q69" s="1" t="s">
        <v>90</v>
      </c>
      <c r="R69" s="1" t="s">
        <v>90</v>
      </c>
      <c r="S69" s="1" t="s">
        <v>90</v>
      </c>
      <c r="T69" s="1" t="s">
        <v>90</v>
      </c>
      <c r="U69" s="1" t="s">
        <v>90</v>
      </c>
      <c r="V69" s="1" t="s">
        <v>90</v>
      </c>
      <c r="W69" s="1" t="s">
        <v>90</v>
      </c>
      <c r="X69" s="1" t="s">
        <v>90</v>
      </c>
      <c r="Y69" s="1" t="s">
        <v>90</v>
      </c>
      <c r="Z69" s="1" t="s">
        <v>90</v>
      </c>
      <c r="AA69" s="1" t="s">
        <v>90</v>
      </c>
      <c r="AB69" s="1" t="s">
        <v>90</v>
      </c>
      <c r="AC69" s="1" t="s">
        <v>90</v>
      </c>
      <c r="AD69" s="1" t="s">
        <v>90</v>
      </c>
      <c r="AE69" s="1" t="s">
        <v>90</v>
      </c>
      <c r="AF69" s="1" t="s">
        <v>90</v>
      </c>
      <c r="AG69" s="1" t="s">
        <v>90</v>
      </c>
      <c r="AH69" s="1" t="s">
        <v>90</v>
      </c>
      <c r="AI69" s="1" t="s">
        <v>90</v>
      </c>
      <c r="AJ69" s="1" t="s">
        <v>90</v>
      </c>
      <c r="AK69" s="1" t="s">
        <v>90</v>
      </c>
      <c r="AL69" s="1" t="s">
        <v>90</v>
      </c>
      <c r="AM69" s="1" t="s">
        <v>90</v>
      </c>
      <c r="AN69" s="1" t="s">
        <v>90</v>
      </c>
      <c r="AO69" s="1" t="s">
        <v>90</v>
      </c>
      <c r="AP69" s="1" t="s">
        <v>90</v>
      </c>
      <c r="AQ69" s="1" t="s">
        <v>90</v>
      </c>
      <c r="AR69" s="1" t="s">
        <v>90</v>
      </c>
      <c r="AS69" s="1" t="s">
        <v>90</v>
      </c>
      <c r="AT69" s="1" t="s">
        <v>90</v>
      </c>
      <c r="AU69" s="1" t="s">
        <v>90</v>
      </c>
      <c r="AV69" s="1" t="s">
        <v>90</v>
      </c>
      <c r="AW69" s="1" t="s">
        <v>90</v>
      </c>
      <c r="AX69" s="1" t="s">
        <v>90</v>
      </c>
      <c r="AY69" s="1" t="s">
        <v>90</v>
      </c>
      <c r="AZ69" s="1" t="s">
        <v>90</v>
      </c>
      <c r="BA69" s="1" t="s">
        <v>90</v>
      </c>
      <c r="BB69" s="1" t="s">
        <v>90</v>
      </c>
      <c r="BC69" s="1" t="s">
        <v>90</v>
      </c>
      <c r="BD69" s="1" t="s">
        <v>90</v>
      </c>
      <c r="BE69" s="1" t="s">
        <v>90</v>
      </c>
      <c r="BF69" s="1" t="s">
        <v>90</v>
      </c>
      <c r="BG69" s="1" t="s">
        <v>90</v>
      </c>
      <c r="BH69" s="1" t="s">
        <v>90</v>
      </c>
      <c r="BI69" s="1" t="s">
        <v>90</v>
      </c>
      <c r="BJ69" s="1" t="s">
        <v>90</v>
      </c>
      <c r="BK69" s="1" t="s">
        <v>90</v>
      </c>
      <c r="BL69" s="1" t="s">
        <v>90</v>
      </c>
      <c r="BM69" s="1" t="s">
        <v>90</v>
      </c>
      <c r="BN69" s="1" t="s">
        <v>90</v>
      </c>
      <c r="BO69" s="1" t="s">
        <v>90</v>
      </c>
      <c r="BP69" s="1" t="s">
        <v>90</v>
      </c>
      <c r="BQ69" s="1" t="s">
        <v>90</v>
      </c>
      <c r="BR69" s="1" t="s">
        <v>90</v>
      </c>
      <c r="BS69" s="1" t="s">
        <v>90</v>
      </c>
      <c r="BT69" s="1" t="s">
        <v>90</v>
      </c>
      <c r="BU69" s="1" t="s">
        <v>90</v>
      </c>
      <c r="BV69" s="1">
        <v>1</v>
      </c>
    </row>
    <row r="70" spans="1:74" x14ac:dyDescent="0.25">
      <c r="A70"/>
    </row>
    <row r="71" spans="1:74" x14ac:dyDescent="0.25">
      <c r="A71"/>
    </row>
    <row r="72" spans="1:74" x14ac:dyDescent="0.25">
      <c r="A72"/>
    </row>
    <row r="73" spans="1:74" x14ac:dyDescent="0.25">
      <c r="A73"/>
    </row>
    <row r="74" spans="1:74" x14ac:dyDescent="0.25">
      <c r="A74"/>
    </row>
    <row r="75" spans="1:74" x14ac:dyDescent="0.25">
      <c r="A75"/>
    </row>
    <row r="76" spans="1:74" x14ac:dyDescent="0.25">
      <c r="A76"/>
    </row>
    <row r="77" spans="1:74" x14ac:dyDescent="0.25">
      <c r="A77"/>
    </row>
    <row r="78" spans="1:74" x14ac:dyDescent="0.25">
      <c r="A78"/>
    </row>
    <row r="79" spans="1:74" x14ac:dyDescent="0.25">
      <c r="A79"/>
    </row>
    <row r="80" spans="1:74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  <row r="1109" spans="1:1" x14ac:dyDescent="0.25">
      <c r="A1109"/>
    </row>
    <row r="1110" spans="1:1" x14ac:dyDescent="0.25">
      <c r="A1110"/>
    </row>
    <row r="1111" spans="1:1" x14ac:dyDescent="0.25">
      <c r="A1111"/>
    </row>
    <row r="1112" spans="1:1" x14ac:dyDescent="0.25">
      <c r="A1112"/>
    </row>
    <row r="1113" spans="1:1" x14ac:dyDescent="0.25">
      <c r="A1113"/>
    </row>
    <row r="1114" spans="1:1" x14ac:dyDescent="0.25">
      <c r="A1114"/>
    </row>
    <row r="1115" spans="1:1" x14ac:dyDescent="0.25">
      <c r="A1115"/>
    </row>
    <row r="1116" spans="1:1" x14ac:dyDescent="0.25">
      <c r="A1116"/>
    </row>
    <row r="1117" spans="1:1" x14ac:dyDescent="0.25">
      <c r="A1117"/>
    </row>
    <row r="1118" spans="1:1" x14ac:dyDescent="0.25">
      <c r="A1118"/>
    </row>
    <row r="1119" spans="1:1" x14ac:dyDescent="0.25">
      <c r="A1119"/>
    </row>
    <row r="1120" spans="1:1" x14ac:dyDescent="0.25">
      <c r="A1120"/>
    </row>
    <row r="1121" spans="1:1" x14ac:dyDescent="0.25">
      <c r="A1121"/>
    </row>
    <row r="1122" spans="1:1" x14ac:dyDescent="0.25">
      <c r="A1122"/>
    </row>
    <row r="1123" spans="1:1" x14ac:dyDescent="0.25">
      <c r="A1123"/>
    </row>
    <row r="1124" spans="1:1" x14ac:dyDescent="0.25">
      <c r="A1124"/>
    </row>
    <row r="1125" spans="1:1" x14ac:dyDescent="0.25">
      <c r="A1125"/>
    </row>
    <row r="1126" spans="1:1" x14ac:dyDescent="0.25">
      <c r="A1126"/>
    </row>
    <row r="1127" spans="1:1" x14ac:dyDescent="0.25">
      <c r="A1127"/>
    </row>
    <row r="1128" spans="1:1" x14ac:dyDescent="0.25">
      <c r="A1128"/>
    </row>
    <row r="1129" spans="1:1" x14ac:dyDescent="0.25">
      <c r="A1129"/>
    </row>
    <row r="1130" spans="1:1" x14ac:dyDescent="0.25">
      <c r="A1130"/>
    </row>
    <row r="1131" spans="1:1" x14ac:dyDescent="0.25">
      <c r="A1131"/>
    </row>
    <row r="1132" spans="1:1" x14ac:dyDescent="0.25">
      <c r="A1132"/>
    </row>
    <row r="1133" spans="1:1" x14ac:dyDescent="0.25">
      <c r="A1133"/>
    </row>
    <row r="1134" spans="1:1" x14ac:dyDescent="0.25">
      <c r="A1134"/>
    </row>
    <row r="1135" spans="1:1" x14ac:dyDescent="0.25">
      <c r="A1135"/>
    </row>
    <row r="1136" spans="1:1" x14ac:dyDescent="0.25">
      <c r="A1136"/>
    </row>
    <row r="1137" spans="1:1" x14ac:dyDescent="0.25">
      <c r="A1137"/>
    </row>
    <row r="1138" spans="1:1" x14ac:dyDescent="0.25">
      <c r="A1138"/>
    </row>
    <row r="1139" spans="1:1" x14ac:dyDescent="0.25">
      <c r="A1139"/>
    </row>
    <row r="1140" spans="1:1" x14ac:dyDescent="0.25">
      <c r="A1140"/>
    </row>
    <row r="1141" spans="1:1" x14ac:dyDescent="0.25">
      <c r="A1141"/>
    </row>
    <row r="1142" spans="1:1" x14ac:dyDescent="0.25">
      <c r="A1142"/>
    </row>
    <row r="1143" spans="1:1" x14ac:dyDescent="0.25">
      <c r="A1143"/>
    </row>
    <row r="1144" spans="1:1" x14ac:dyDescent="0.25">
      <c r="A1144"/>
    </row>
    <row r="1145" spans="1:1" x14ac:dyDescent="0.25">
      <c r="A1145"/>
    </row>
    <row r="1146" spans="1:1" x14ac:dyDescent="0.25">
      <c r="A1146"/>
    </row>
    <row r="1147" spans="1:1" x14ac:dyDescent="0.25">
      <c r="A1147"/>
    </row>
    <row r="1148" spans="1:1" x14ac:dyDescent="0.25">
      <c r="A1148"/>
    </row>
    <row r="1149" spans="1:1" x14ac:dyDescent="0.25">
      <c r="A1149"/>
    </row>
    <row r="1150" spans="1:1" x14ac:dyDescent="0.25">
      <c r="A1150"/>
    </row>
    <row r="1151" spans="1:1" x14ac:dyDescent="0.25">
      <c r="A1151"/>
    </row>
    <row r="1152" spans="1:1" x14ac:dyDescent="0.25">
      <c r="A1152"/>
    </row>
    <row r="1153" spans="1:1" x14ac:dyDescent="0.25">
      <c r="A1153"/>
    </row>
    <row r="1154" spans="1:1" x14ac:dyDescent="0.25">
      <c r="A1154"/>
    </row>
    <row r="1155" spans="1:1" x14ac:dyDescent="0.25">
      <c r="A1155"/>
    </row>
    <row r="1156" spans="1:1" x14ac:dyDescent="0.25">
      <c r="A1156"/>
    </row>
    <row r="1157" spans="1:1" x14ac:dyDescent="0.25">
      <c r="A1157"/>
    </row>
    <row r="1158" spans="1:1" x14ac:dyDescent="0.25">
      <c r="A1158"/>
    </row>
    <row r="1159" spans="1:1" x14ac:dyDescent="0.25">
      <c r="A1159"/>
    </row>
    <row r="1160" spans="1:1" x14ac:dyDescent="0.25">
      <c r="A1160"/>
    </row>
    <row r="1161" spans="1:1" x14ac:dyDescent="0.25">
      <c r="A1161"/>
    </row>
    <row r="1162" spans="1:1" x14ac:dyDescent="0.25">
      <c r="A1162"/>
    </row>
    <row r="1163" spans="1:1" x14ac:dyDescent="0.25">
      <c r="A1163"/>
    </row>
    <row r="1164" spans="1:1" x14ac:dyDescent="0.25">
      <c r="A1164"/>
    </row>
    <row r="1165" spans="1:1" x14ac:dyDescent="0.25">
      <c r="A1165"/>
    </row>
    <row r="1166" spans="1:1" x14ac:dyDescent="0.25">
      <c r="A1166"/>
    </row>
    <row r="1167" spans="1:1" x14ac:dyDescent="0.25">
      <c r="A1167"/>
    </row>
    <row r="1168" spans="1:1" x14ac:dyDescent="0.25">
      <c r="A1168"/>
    </row>
    <row r="1169" spans="1:1" x14ac:dyDescent="0.25">
      <c r="A1169"/>
    </row>
    <row r="1170" spans="1:1" x14ac:dyDescent="0.25">
      <c r="A1170"/>
    </row>
    <row r="1171" spans="1:1" x14ac:dyDescent="0.25">
      <c r="A1171"/>
    </row>
    <row r="1172" spans="1:1" x14ac:dyDescent="0.25">
      <c r="A1172"/>
    </row>
    <row r="1173" spans="1:1" x14ac:dyDescent="0.25">
      <c r="A1173"/>
    </row>
    <row r="1174" spans="1:1" x14ac:dyDescent="0.25">
      <c r="A1174"/>
    </row>
    <row r="1175" spans="1:1" x14ac:dyDescent="0.25">
      <c r="A1175"/>
    </row>
    <row r="1176" spans="1:1" x14ac:dyDescent="0.25">
      <c r="A1176"/>
    </row>
    <row r="1177" spans="1:1" x14ac:dyDescent="0.25">
      <c r="A1177"/>
    </row>
    <row r="1178" spans="1:1" x14ac:dyDescent="0.25">
      <c r="A1178"/>
    </row>
    <row r="1179" spans="1:1" x14ac:dyDescent="0.25">
      <c r="A1179"/>
    </row>
    <row r="1180" spans="1:1" x14ac:dyDescent="0.25">
      <c r="A1180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WriteChannelSttcData.WriteChannelSttcData">
                <anchor moveWithCells="1">
                  <from>
                    <xdr:col>3</xdr:col>
                    <xdr:colOff>609600</xdr:colOff>
                    <xdr:row>0</xdr:row>
                    <xdr:rowOff>190500</xdr:rowOff>
                  </from>
                  <to>
                    <xdr:col>6</xdr:col>
                    <xdr:colOff>1828800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"/>
  <sheetViews>
    <sheetView workbookViewId="0">
      <selection activeCell="B2" sqref="B2"/>
    </sheetView>
  </sheetViews>
  <sheetFormatPr defaultRowHeight="15" x14ac:dyDescent="0.25"/>
  <cols>
    <col min="1" max="1" width="11.28515625" style="6" bestFit="1" customWidth="1"/>
    <col min="2" max="2" width="9" style="1" bestFit="1" customWidth="1"/>
    <col min="3" max="3" width="22.85546875" style="1" bestFit="1" customWidth="1"/>
    <col min="4" max="4" width="15.85546875" style="1" bestFit="1" customWidth="1"/>
    <col min="5" max="5" width="16.85546875" style="1" bestFit="1" customWidth="1"/>
    <col min="6" max="6" width="18.7109375" style="1" bestFit="1" customWidth="1"/>
    <col min="7" max="7" width="15.140625" style="1" bestFit="1" customWidth="1"/>
    <col min="8" max="8" width="22.85546875" style="1" bestFit="1" customWidth="1"/>
    <col min="9" max="9" width="18.28515625" style="1" bestFit="1" customWidth="1"/>
    <col min="10" max="10" width="22.7109375" style="1" bestFit="1" customWidth="1"/>
    <col min="11" max="11" width="11.28515625" style="1" bestFit="1" customWidth="1"/>
    <col min="12" max="12" width="16.28515625" style="1" bestFit="1" customWidth="1"/>
    <col min="13" max="16384" width="9.140625" style="1"/>
  </cols>
  <sheetData>
    <row r="1" spans="1:12" x14ac:dyDescent="0.25">
      <c r="A1" s="6" t="s">
        <v>3</v>
      </c>
      <c r="B1" s="6" t="s">
        <v>94</v>
      </c>
      <c r="C1" s="23" t="s">
        <v>21</v>
      </c>
      <c r="D1" s="23" t="s">
        <v>8</v>
      </c>
      <c r="E1" s="23" t="s">
        <v>95</v>
      </c>
      <c r="F1" s="23" t="s">
        <v>96</v>
      </c>
      <c r="G1" s="23" t="s">
        <v>97</v>
      </c>
      <c r="H1" s="23" t="s">
        <v>98</v>
      </c>
      <c r="I1" s="23" t="s">
        <v>99</v>
      </c>
      <c r="J1" s="23" t="s">
        <v>100</v>
      </c>
      <c r="K1" s="23" t="s">
        <v>101</v>
      </c>
      <c r="L1" s="23" t="s">
        <v>102</v>
      </c>
    </row>
    <row r="2" spans="1:12" s="27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"/>
  <sheetViews>
    <sheetView workbookViewId="0">
      <selection activeCell="B2" sqref="B2"/>
    </sheetView>
  </sheetViews>
  <sheetFormatPr defaultRowHeight="15" x14ac:dyDescent="0.25"/>
  <cols>
    <col min="1" max="1" width="11.28515625" style="6" bestFit="1" customWidth="1"/>
    <col min="2" max="2" width="14" style="1" bestFit="1" customWidth="1"/>
    <col min="3" max="3" width="22.85546875" style="1" bestFit="1" customWidth="1"/>
    <col min="4" max="4" width="15.85546875" style="1" bestFit="1" customWidth="1"/>
    <col min="5" max="5" width="16.85546875" style="1" bestFit="1" customWidth="1"/>
    <col min="6" max="6" width="18.7109375" style="1" bestFit="1" customWidth="1"/>
    <col min="7" max="7" width="15.140625" style="1" bestFit="1" customWidth="1"/>
    <col min="8" max="8" width="22.85546875" style="1" bestFit="1" customWidth="1"/>
    <col min="9" max="9" width="18.28515625" style="1" bestFit="1" customWidth="1"/>
    <col min="10" max="10" width="22.7109375" style="1" bestFit="1" customWidth="1"/>
    <col min="11" max="11" width="11.28515625" style="1" bestFit="1" customWidth="1"/>
    <col min="12" max="12" width="16.28515625" style="1" bestFit="1" customWidth="1"/>
    <col min="13" max="16384" width="9.140625" style="1"/>
  </cols>
  <sheetData>
    <row r="1" spans="1:12" x14ac:dyDescent="0.25">
      <c r="A1" s="6" t="s">
        <v>3</v>
      </c>
      <c r="B1" s="6" t="s">
        <v>94</v>
      </c>
      <c r="C1" s="23" t="s">
        <v>21</v>
      </c>
      <c r="D1" s="23" t="s">
        <v>8</v>
      </c>
      <c r="E1" s="23" t="s">
        <v>95</v>
      </c>
      <c r="F1" s="23" t="s">
        <v>96</v>
      </c>
      <c r="G1" s="23" t="s">
        <v>97</v>
      </c>
      <c r="H1" s="23" t="s">
        <v>98</v>
      </c>
      <c r="I1" s="23" t="s">
        <v>99</v>
      </c>
      <c r="J1" s="23" t="s">
        <v>100</v>
      </c>
      <c r="K1" s="23" t="s">
        <v>101</v>
      </c>
      <c r="L1" s="23" t="s">
        <v>102</v>
      </c>
    </row>
    <row r="2" spans="1:12" x14ac:dyDescent="0.25">
      <c r="A2" s="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"/>
  <sheetViews>
    <sheetView workbookViewId="0">
      <selection activeCell="B2" sqref="B2"/>
    </sheetView>
  </sheetViews>
  <sheetFormatPr defaultRowHeight="15" x14ac:dyDescent="0.25"/>
  <cols>
    <col min="1" max="1" width="11.28515625" style="7" bestFit="1" customWidth="1"/>
    <col min="2" max="2" width="14" style="8" bestFit="1" customWidth="1"/>
    <col min="3" max="3" width="22.85546875" style="8" bestFit="1" customWidth="1"/>
    <col min="4" max="4" width="15.85546875" style="8" bestFit="1" customWidth="1"/>
    <col min="5" max="5" width="16.85546875" style="8" bestFit="1" customWidth="1"/>
    <col min="6" max="6" width="18.7109375" style="8" bestFit="1" customWidth="1"/>
    <col min="7" max="7" width="15.140625" style="8" bestFit="1" customWidth="1"/>
    <col min="8" max="8" width="22.85546875" style="8" bestFit="1" customWidth="1"/>
    <col min="9" max="9" width="18.28515625" style="8" bestFit="1" customWidth="1"/>
    <col min="10" max="10" width="22.7109375" style="8" bestFit="1" customWidth="1"/>
    <col min="11" max="11" width="11.28515625" style="8" bestFit="1" customWidth="1"/>
    <col min="12" max="12" width="16.28515625" style="8" bestFit="1" customWidth="1"/>
    <col min="13" max="16384" width="9.140625" style="8"/>
  </cols>
  <sheetData>
    <row r="1" spans="1:12" x14ac:dyDescent="0.25">
      <c r="A1" s="6" t="s">
        <v>3</v>
      </c>
      <c r="B1" s="6" t="s">
        <v>94</v>
      </c>
      <c r="C1" s="23" t="s">
        <v>21</v>
      </c>
      <c r="D1" s="23" t="s">
        <v>8</v>
      </c>
      <c r="E1" s="23" t="s">
        <v>95</v>
      </c>
      <c r="F1" s="23" t="s">
        <v>96</v>
      </c>
      <c r="G1" s="23" t="s">
        <v>97</v>
      </c>
      <c r="H1" s="23" t="s">
        <v>98</v>
      </c>
      <c r="I1" s="23" t="s">
        <v>99</v>
      </c>
      <c r="J1" s="23" t="s">
        <v>100</v>
      </c>
      <c r="K1" s="23" t="s">
        <v>101</v>
      </c>
      <c r="L1" s="23" t="s">
        <v>102</v>
      </c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Contents</vt:lpstr>
      <vt:lpstr>Invalid Cells</vt:lpstr>
      <vt:lpstr>ANOVA Results</vt:lpstr>
      <vt:lpstr>Property Values</vt:lpstr>
      <vt:lpstr>Spike Time Tiling Coefficients</vt:lpstr>
      <vt:lpstr>WT_Dark</vt:lpstr>
      <vt:lpstr>WT_Light</vt:lpstr>
      <vt:lpstr>WT_DarkRecovery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2014-11-03T03:25:12Z</dcterms:created>
  <dcterms:modified xsi:type="dcterms:W3CDTF">2016-01-19T18:09:37Z</dcterms:modified>
</cp:coreProperties>
</file>