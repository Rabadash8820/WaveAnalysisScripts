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Daniel\Google Drive\Renna_Neuro_Stuff\Projects\Meth\Results\"/>
    </mc:Choice>
  </mc:AlternateContent>
  <bookViews>
    <workbookView xWindow="-15" yWindow="-15" windowWidth="14400" windowHeight="12855" tabRatio="721"/>
  </bookViews>
  <sheets>
    <sheet name="Contents" sheetId="9" r:id="rId1"/>
    <sheet name="mRGC Channels" sheetId="11" r:id="rId2"/>
    <sheet name="Results" sheetId="19" r:id="rId3"/>
    <sheet name="Control" sheetId="15" r:id="rId4"/>
    <sheet name="Low Meth" sheetId="16" r:id="rId5"/>
    <sheet name="High Meth" sheetId="17" r:id="rId6"/>
    <sheet name="Recovery" sheetId="18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8" i="18" l="1"/>
  <c r="C38" i="18" s="1"/>
  <c r="B37" i="18"/>
  <c r="C37" i="18" s="1"/>
  <c r="B36" i="18"/>
  <c r="C36" i="18" s="1"/>
  <c r="B35" i="18"/>
  <c r="C35" i="18" s="1"/>
  <c r="B34" i="18"/>
  <c r="C34" i="18" s="1"/>
  <c r="B33" i="18"/>
  <c r="C33" i="18" s="1"/>
  <c r="B32" i="18"/>
  <c r="C32" i="18" s="1"/>
  <c r="B31" i="18"/>
  <c r="C31" i="18" s="1"/>
  <c r="B30" i="18"/>
  <c r="C30" i="18" s="1"/>
  <c r="B29" i="18"/>
  <c r="C29" i="18" s="1"/>
  <c r="B28" i="18"/>
  <c r="C28" i="18" s="1"/>
  <c r="B27" i="18"/>
  <c r="C27" i="18" s="1"/>
  <c r="B26" i="18"/>
  <c r="C26" i="18" s="1"/>
  <c r="B25" i="18"/>
  <c r="C25" i="18" s="1"/>
  <c r="B24" i="18"/>
  <c r="C24" i="18" s="1"/>
  <c r="B23" i="18"/>
  <c r="C23" i="18" s="1"/>
  <c r="B22" i="18"/>
  <c r="C22" i="18" s="1"/>
  <c r="B21" i="18"/>
  <c r="C21" i="18" s="1"/>
  <c r="B20" i="18"/>
  <c r="C20" i="18" s="1"/>
  <c r="B19" i="18"/>
  <c r="C19" i="18" s="1"/>
  <c r="B18" i="18"/>
  <c r="C18" i="18" s="1"/>
  <c r="B17" i="18"/>
  <c r="C17" i="18" s="1"/>
  <c r="B16" i="18"/>
  <c r="C16" i="18" s="1"/>
  <c r="B15" i="18"/>
  <c r="C15" i="18" s="1"/>
  <c r="B14" i="18"/>
  <c r="C14" i="18" s="1"/>
  <c r="B13" i="18"/>
  <c r="C13" i="18" s="1"/>
  <c r="B12" i="18"/>
  <c r="C12" i="18" s="1"/>
  <c r="B11" i="18"/>
  <c r="C11" i="18" s="1"/>
  <c r="B10" i="18"/>
  <c r="C10" i="18" s="1"/>
  <c r="B9" i="18"/>
  <c r="C9" i="18" s="1"/>
  <c r="B8" i="18"/>
  <c r="C8" i="18" s="1"/>
  <c r="B7" i="18"/>
  <c r="C7" i="18" s="1"/>
  <c r="B6" i="18"/>
  <c r="C6" i="18" s="1"/>
  <c r="B38" i="17"/>
  <c r="C38" i="17" s="1"/>
  <c r="B37" i="17"/>
  <c r="C37" i="17" s="1"/>
  <c r="B36" i="17"/>
  <c r="C36" i="17" s="1"/>
  <c r="B35" i="17"/>
  <c r="C35" i="17" s="1"/>
  <c r="B34" i="17"/>
  <c r="C34" i="17" s="1"/>
  <c r="B33" i="17"/>
  <c r="C33" i="17" s="1"/>
  <c r="B32" i="17"/>
  <c r="C32" i="17" s="1"/>
  <c r="B31" i="17"/>
  <c r="C31" i="17" s="1"/>
  <c r="B30" i="17"/>
  <c r="C30" i="17" s="1"/>
  <c r="B29" i="17"/>
  <c r="C29" i="17" s="1"/>
  <c r="B28" i="17"/>
  <c r="C28" i="17" s="1"/>
  <c r="B27" i="17"/>
  <c r="C27" i="17" s="1"/>
  <c r="B26" i="17"/>
  <c r="C26" i="17" s="1"/>
  <c r="B25" i="17"/>
  <c r="C25" i="17" s="1"/>
  <c r="B24" i="17"/>
  <c r="C24" i="17" s="1"/>
  <c r="B23" i="17"/>
  <c r="C23" i="17" s="1"/>
  <c r="B22" i="17"/>
  <c r="C22" i="17" s="1"/>
  <c r="B21" i="17"/>
  <c r="C21" i="17" s="1"/>
  <c r="B20" i="17"/>
  <c r="C20" i="17" s="1"/>
  <c r="B19" i="17"/>
  <c r="C19" i="17" s="1"/>
  <c r="B18" i="17"/>
  <c r="C18" i="17" s="1"/>
  <c r="B17" i="17"/>
  <c r="C17" i="17" s="1"/>
  <c r="B16" i="17"/>
  <c r="C16" i="17" s="1"/>
  <c r="B15" i="17"/>
  <c r="C15" i="17" s="1"/>
  <c r="B14" i="17"/>
  <c r="C14" i="17" s="1"/>
  <c r="B13" i="17"/>
  <c r="C13" i="17" s="1"/>
  <c r="B12" i="17"/>
  <c r="C12" i="17" s="1"/>
  <c r="B11" i="17"/>
  <c r="C11" i="17" s="1"/>
  <c r="B10" i="17"/>
  <c r="C10" i="17" s="1"/>
  <c r="B9" i="17"/>
  <c r="C9" i="17" s="1"/>
  <c r="B8" i="17"/>
  <c r="C8" i="17" s="1"/>
  <c r="B7" i="17"/>
  <c r="C7" i="17" s="1"/>
  <c r="B6" i="17"/>
  <c r="C6" i="17" s="1"/>
  <c r="B38" i="16"/>
  <c r="C38" i="16" s="1"/>
  <c r="B37" i="16"/>
  <c r="C37" i="16" s="1"/>
  <c r="B36" i="16"/>
  <c r="C36" i="16" s="1"/>
  <c r="B35" i="16"/>
  <c r="C35" i="16" s="1"/>
  <c r="B34" i="16"/>
  <c r="C34" i="16" s="1"/>
  <c r="B33" i="16"/>
  <c r="C33" i="16" s="1"/>
  <c r="B32" i="16"/>
  <c r="C32" i="16" s="1"/>
  <c r="B31" i="16"/>
  <c r="C31" i="16" s="1"/>
  <c r="B30" i="16"/>
  <c r="C30" i="16" s="1"/>
  <c r="B29" i="16"/>
  <c r="C29" i="16" s="1"/>
  <c r="B28" i="16"/>
  <c r="C28" i="16" s="1"/>
  <c r="B27" i="16"/>
  <c r="C27" i="16" s="1"/>
  <c r="B26" i="16"/>
  <c r="C26" i="16" s="1"/>
  <c r="B25" i="16"/>
  <c r="C25" i="16" s="1"/>
  <c r="B24" i="16"/>
  <c r="C24" i="16" s="1"/>
  <c r="B23" i="16"/>
  <c r="C23" i="16" s="1"/>
  <c r="B22" i="16"/>
  <c r="C22" i="16" s="1"/>
  <c r="B21" i="16"/>
  <c r="C21" i="16" s="1"/>
  <c r="B20" i="16"/>
  <c r="C20" i="16" s="1"/>
  <c r="B19" i="16"/>
  <c r="C19" i="16" s="1"/>
  <c r="B18" i="16"/>
  <c r="C18" i="16" s="1"/>
  <c r="B17" i="16"/>
  <c r="C17" i="16" s="1"/>
  <c r="B16" i="16"/>
  <c r="C16" i="16" s="1"/>
  <c r="B15" i="16"/>
  <c r="C15" i="16" s="1"/>
  <c r="B14" i="16"/>
  <c r="C14" i="16" s="1"/>
  <c r="B13" i="16"/>
  <c r="C13" i="16" s="1"/>
  <c r="B12" i="16"/>
  <c r="C12" i="16" s="1"/>
  <c r="B11" i="16"/>
  <c r="C11" i="16" s="1"/>
  <c r="B10" i="16"/>
  <c r="C10" i="16" s="1"/>
  <c r="B9" i="16"/>
  <c r="C9" i="16" s="1"/>
  <c r="B8" i="16"/>
  <c r="C8" i="16" s="1"/>
  <c r="B7" i="16"/>
  <c r="C7" i="16" s="1"/>
  <c r="B6" i="16"/>
  <c r="C6" i="16" s="1"/>
  <c r="B7" i="15" l="1"/>
  <c r="C7" i="15" s="1"/>
  <c r="B8" i="15"/>
  <c r="C8" i="15" s="1"/>
  <c r="B9" i="15"/>
  <c r="C9" i="15" s="1"/>
  <c r="B10" i="15"/>
  <c r="C10" i="15" s="1"/>
  <c r="B11" i="15"/>
  <c r="C11" i="15" s="1"/>
  <c r="B12" i="15"/>
  <c r="C12" i="15" s="1"/>
  <c r="B13" i="15"/>
  <c r="C13" i="15" s="1"/>
  <c r="B14" i="15"/>
  <c r="C14" i="15" s="1"/>
  <c r="B15" i="15"/>
  <c r="C15" i="15" s="1"/>
  <c r="B16" i="15"/>
  <c r="C16" i="15" s="1"/>
  <c r="B17" i="15"/>
  <c r="C17" i="15" s="1"/>
  <c r="B18" i="15"/>
  <c r="C18" i="15" s="1"/>
  <c r="B19" i="15"/>
  <c r="C19" i="15" s="1"/>
  <c r="B20" i="15"/>
  <c r="C20" i="15" s="1"/>
  <c r="B21" i="15"/>
  <c r="C21" i="15" s="1"/>
  <c r="B22" i="15"/>
  <c r="C22" i="15" s="1"/>
  <c r="B23" i="15"/>
  <c r="C23" i="15" s="1"/>
  <c r="B24" i="15"/>
  <c r="C24" i="15" s="1"/>
  <c r="B25" i="15"/>
  <c r="C25" i="15" s="1"/>
  <c r="B26" i="15"/>
  <c r="C26" i="15" s="1"/>
  <c r="B27" i="15"/>
  <c r="C27" i="15" s="1"/>
  <c r="B28" i="15"/>
  <c r="C28" i="15" s="1"/>
  <c r="B29" i="15"/>
  <c r="C29" i="15" s="1"/>
  <c r="B30" i="15"/>
  <c r="C30" i="15" s="1"/>
  <c r="B31" i="15"/>
  <c r="C31" i="15" s="1"/>
  <c r="B32" i="15"/>
  <c r="C32" i="15" s="1"/>
  <c r="B33" i="15"/>
  <c r="C33" i="15" s="1"/>
  <c r="B34" i="15"/>
  <c r="C34" i="15" s="1"/>
  <c r="B35" i="15"/>
  <c r="C35" i="15" s="1"/>
  <c r="B36" i="15"/>
  <c r="C36" i="15" s="1"/>
  <c r="B37" i="15"/>
  <c r="C37" i="15" s="1"/>
  <c r="B38" i="15"/>
  <c r="C38" i="15" s="1"/>
  <c r="B6" i="15"/>
  <c r="C6" i="15" s="1"/>
</calcChain>
</file>

<file path=xl/sharedStrings.xml><?xml version="1.0" encoding="utf-8"?>
<sst xmlns="http://schemas.openxmlformats.org/spreadsheetml/2006/main" count="563" uniqueCount="83">
  <si>
    <t>Wildtype_Recovery</t>
  </si>
  <si>
    <t>Wildtype_Light</t>
  </si>
  <si>
    <t>Wildtype_Dark</t>
  </si>
  <si>
    <t>Retina</t>
  </si>
  <si>
    <t>Electrode</t>
  </si>
  <si>
    <t>Provide the names of electrodes that had mRGCs…these will then get excluded from further analysis (Ex: Retina 1, Electrode adch_33i)</t>
  </si>
  <si>
    <t>Recovery</t>
  </si>
  <si>
    <t>STTC</t>
  </si>
  <si>
    <t>Inter-Electrode Distance</t>
  </si>
  <si>
    <t>Electrode_2</t>
  </si>
  <si>
    <t>Electrode_1</t>
  </si>
  <si>
    <t>adch_11</t>
  </si>
  <si>
    <t>adch_12</t>
  </si>
  <si>
    <t>adch_13</t>
  </si>
  <si>
    <t>adch_14</t>
  </si>
  <si>
    <t>adch_15</t>
  </si>
  <si>
    <t>adch_16</t>
  </si>
  <si>
    <t>adch_17</t>
  </si>
  <si>
    <t>adch_18</t>
  </si>
  <si>
    <t>adch_21</t>
  </si>
  <si>
    <t>adch_22</t>
  </si>
  <si>
    <t>adch_23</t>
  </si>
  <si>
    <t>adch_24</t>
  </si>
  <si>
    <t>adch_25</t>
  </si>
  <si>
    <t>adch_26</t>
  </si>
  <si>
    <t>adch_27</t>
  </si>
  <si>
    <t>adch_28</t>
  </si>
  <si>
    <t>adch_31</t>
  </si>
  <si>
    <t>adch_32</t>
  </si>
  <si>
    <t>adch_33</t>
  </si>
  <si>
    <t>adch_34</t>
  </si>
  <si>
    <t>adch_35</t>
  </si>
  <si>
    <t>adch_36</t>
  </si>
  <si>
    <t>adch_37</t>
  </si>
  <si>
    <t>adch_38</t>
  </si>
  <si>
    <t>adch_41</t>
  </si>
  <si>
    <t>adch_42</t>
  </si>
  <si>
    <t>adch_43</t>
  </si>
  <si>
    <t>adch_44</t>
  </si>
  <si>
    <t>adch_45</t>
  </si>
  <si>
    <t>adch_46</t>
  </si>
  <si>
    <t>adch_47</t>
  </si>
  <si>
    <t>adch_48</t>
  </si>
  <si>
    <t>adch_51</t>
  </si>
  <si>
    <t>adch_52</t>
  </si>
  <si>
    <t>adch_53</t>
  </si>
  <si>
    <t>adch_54</t>
  </si>
  <si>
    <t>adch_55</t>
  </si>
  <si>
    <t>adch_56</t>
  </si>
  <si>
    <t>adch_57</t>
  </si>
  <si>
    <t>adch_58</t>
  </si>
  <si>
    <t>adch_61</t>
  </si>
  <si>
    <t>adch_62</t>
  </si>
  <si>
    <t>adch_63</t>
  </si>
  <si>
    <t>adch_64</t>
  </si>
  <si>
    <t>adch_65</t>
  </si>
  <si>
    <t>adch_66</t>
  </si>
  <si>
    <t>adch_67</t>
  </si>
  <si>
    <t>adch_68</t>
  </si>
  <si>
    <t>adch_71</t>
  </si>
  <si>
    <t>adch_72</t>
  </si>
  <si>
    <t>adch_73</t>
  </si>
  <si>
    <t>adch_74</t>
  </si>
  <si>
    <t>adch_75</t>
  </si>
  <si>
    <t>adch_76</t>
  </si>
  <si>
    <t>adch_77</t>
  </si>
  <si>
    <t>adch_78</t>
  </si>
  <si>
    <t>adch_81</t>
  </si>
  <si>
    <t>adch_82</t>
  </si>
  <si>
    <t>adch_83</t>
  </si>
  <si>
    <t>adch_84</t>
  </si>
  <si>
    <t>adch_85</t>
  </si>
  <si>
    <t>adch_86</t>
  </si>
  <si>
    <t>adch_87</t>
  </si>
  <si>
    <t>adch_88</t>
  </si>
  <si>
    <t>Paste STTC-values for each electrode-pair below</t>
  </si>
  <si>
    <t>Distance</t>
  </si>
  <si>
    <t>Mean STTC</t>
  </si>
  <si>
    <t>Low Meth</t>
  </si>
  <si>
    <t>High Meth</t>
  </si>
  <si>
    <t>Control</t>
  </si>
  <si>
    <t>Unit Distance</t>
  </si>
  <si>
    <r>
      <t>Inter-electrode Distance (</t>
    </r>
    <r>
      <rPr>
        <b/>
        <sz val="11"/>
        <color theme="1"/>
        <rFont val="Calibri"/>
        <family val="2"/>
      </rPr>
      <t>µm)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</si>
</sst>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Bad" xfId="1" builtinId="27"/>
    <cellStyle name="Normal" xfId="0" builtinId="0"/>
  </cellStyles>
  <dxfs count="3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Mean STTC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Control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Control!$B$6:$B$38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Control!$C$6:$C$38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LowMeth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'Low Meth'!$B$6:$B$38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'Low Meth'!$C$6:$C$38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HighMeth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'High Meth'!$B$6:$B$38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'High Meth'!$C$6:$C$38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Recovery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Recovery!$B$6:$B$38</c:f>
              <c:numCache>
                <c:formatCode>0.000</c:formatCode>
                <c:ptCount val="3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282.84271247461902</c:v>
                </c:pt>
                <c:pt idx="8">
                  <c:v>447.21359549995793</c:v>
                </c:pt>
                <c:pt idx="9">
                  <c:v>632.45553203367592</c:v>
                </c:pt>
                <c:pt idx="10">
                  <c:v>824.62112512353212</c:v>
                </c:pt>
                <c:pt idx="11">
                  <c:v>1019.8039027185569</c:v>
                </c:pt>
                <c:pt idx="12">
                  <c:v>1216.552506059644</c:v>
                </c:pt>
                <c:pt idx="13">
                  <c:v>1414.2135623730951</c:v>
                </c:pt>
                <c:pt idx="14">
                  <c:v>565.68542494923804</c:v>
                </c:pt>
                <c:pt idx="15">
                  <c:v>721.11025509279784</c:v>
                </c:pt>
                <c:pt idx="16">
                  <c:v>894.42719099991587</c:v>
                </c:pt>
                <c:pt idx="17">
                  <c:v>1077.0329614269008</c:v>
                </c:pt>
                <c:pt idx="18">
                  <c:v>1264.9110640673518</c:v>
                </c:pt>
                <c:pt idx="19">
                  <c:v>1456.0219778561036</c:v>
                </c:pt>
                <c:pt idx="20">
                  <c:v>848.52813742385695</c:v>
                </c:pt>
                <c:pt idx="21">
                  <c:v>1166.1903789690602</c:v>
                </c:pt>
                <c:pt idx="22">
                  <c:v>1341.6407864998739</c:v>
                </c:pt>
                <c:pt idx="23">
                  <c:v>1523.1546211727818</c:v>
                </c:pt>
                <c:pt idx="24">
                  <c:v>1131.3708498984761</c:v>
                </c:pt>
                <c:pt idx="25">
                  <c:v>1280.6248474865697</c:v>
                </c:pt>
                <c:pt idx="26">
                  <c:v>1442.2205101855957</c:v>
                </c:pt>
                <c:pt idx="27">
                  <c:v>1612.4515496597098</c:v>
                </c:pt>
                <c:pt idx="28">
                  <c:v>1562.0499351813307</c:v>
                </c:pt>
                <c:pt idx="29">
                  <c:v>1720.4650534085254</c:v>
                </c:pt>
                <c:pt idx="30">
                  <c:v>1697.0562748477139</c:v>
                </c:pt>
                <c:pt idx="31">
                  <c:v>1843.9088914585775</c:v>
                </c:pt>
                <c:pt idx="32">
                  <c:v>1979.8989873223331</c:v>
                </c:pt>
              </c:numCache>
            </c:numRef>
          </c:xVal>
          <c:yVal>
            <c:numRef>
              <c:f>Recovery!$C$6:$C$38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04679888"/>
        <c:axId val="-1904694576"/>
      </c:scatterChart>
      <c:valAx>
        <c:axId val="-1904679888"/>
        <c:scaling>
          <c:orientation val="minMax"/>
        </c:scaling>
        <c:delete val="0"/>
        <c:axPos val="b"/>
        <c:title>
          <c:tx>
            <c:strRef>
              <c:f>Control!$B$5</c:f>
              <c:strCache>
                <c:ptCount val="1"/>
                <c:pt idx="0">
                  <c:v>Distance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4694576"/>
        <c:crossesAt val="-0.1"/>
        <c:crossBetween val="midCat"/>
      </c:valAx>
      <c:valAx>
        <c:axId val="-1904694576"/>
        <c:scaling>
          <c:orientation val="minMax"/>
        </c:scaling>
        <c:delete val="0"/>
        <c:axPos val="l"/>
        <c:title>
          <c:tx>
            <c:strRef>
              <c:f>Control!$C$5</c:f>
              <c:strCache>
                <c:ptCount val="1"/>
                <c:pt idx="0">
                  <c:v>STTC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467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9525</xdr:rowOff>
        </xdr:from>
        <xdr:to>
          <xdr:col>15</xdr:col>
          <xdr:colOff>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mRGCs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2</xdr:row>
      <xdr:rowOff>9525</xdr:rowOff>
    </xdr:from>
    <xdr:to>
      <xdr:col>12</xdr:col>
      <xdr:colOff>114300</xdr:colOff>
      <xdr:row>22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0</xdr:row>
          <xdr:rowOff>190500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Electrode Names, Distances, and STTC-values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7" totalsRowShown="0" headerRowDxfId="36" dataDxfId="35">
  <autoFilter ref="A1:E7"/>
  <tableColumns count="5">
    <tableColumn id="1" name="Retina" dataDxfId="34"/>
    <tableColumn id="5" name="Control" dataDxfId="33"/>
    <tableColumn id="6" name="Low Meth" dataDxfId="32"/>
    <tableColumn id="7" name="High Meth" dataDxfId="31"/>
    <tableColumn id="2" name="Recovery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SttcTable" displayName="SttcTable" ref="F5:I6" insertRow="1" totalsRowShown="0" headerRowDxfId="29" dataDxfId="28">
  <autoFilter ref="F5:I6"/>
  <tableColumns count="4">
    <tableColumn id="1" name="Electrode_1" dataDxfId="27"/>
    <tableColumn id="2" name="Electrode_2" dataDxfId="26"/>
    <tableColumn id="3" name="Inter-Electrode Distance" dataDxfId="25"/>
    <tableColumn id="4" name="STTC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ttcTable3" displayName="SttcTable3" ref="F5:I6" insertRow="1" totalsRowShown="0" headerRowDxfId="23" dataDxfId="22">
  <autoFilter ref="F5:I6"/>
  <tableColumns count="4">
    <tableColumn id="1" name="Electrode_1" dataDxfId="21"/>
    <tableColumn id="2" name="Electrode_2" dataDxfId="20"/>
    <tableColumn id="3" name="Inter-Electrode Distance" dataDxfId="19"/>
    <tableColumn id="4" name="STTC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SttcTable35" displayName="SttcTable35" ref="F5:I6" insertRow="1" totalsRowShown="0" headerRowDxfId="17" dataDxfId="16">
  <autoFilter ref="F5:I6"/>
  <tableColumns count="4">
    <tableColumn id="1" name="Electrode_1" dataDxfId="15"/>
    <tableColumn id="2" name="Electrode_2" dataDxfId="14"/>
    <tableColumn id="3" name="Inter-Electrode Distance" dataDxfId="13"/>
    <tableColumn id="4" name="STTC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SttcTable356" displayName="SttcTable356" ref="F5:I6" insertRow="1" totalsRowShown="0" headerRowDxfId="11" dataDxfId="10">
  <autoFilter ref="F5:I6"/>
  <tableColumns count="4">
    <tableColumn id="1" name="Electrode_1" dataDxfId="9"/>
    <tableColumn id="2" name="Electrode_2" dataDxfId="8"/>
    <tableColumn id="3" name="Inter-Electrode Distance" dataDxfId="7"/>
    <tableColumn id="4" name="STTC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tabSelected="1" workbookViewId="0">
      <selection activeCell="B2" sqref="B2"/>
    </sheetView>
  </sheetViews>
  <sheetFormatPr defaultRowHeight="15" x14ac:dyDescent="0.25"/>
  <cols>
    <col min="1" max="1" width="11.28515625" style="1" bestFit="1" customWidth="1"/>
    <col min="2" max="4" width="27.85546875" style="1" bestFit="1" customWidth="1"/>
    <col min="5" max="5" width="23.5703125" style="1" customWidth="1"/>
    <col min="6" max="16384" width="9.140625" style="1"/>
  </cols>
  <sheetData>
    <row r="1" spans="1:5" x14ac:dyDescent="0.25">
      <c r="A1" s="1" t="s">
        <v>3</v>
      </c>
      <c r="B1" s="1" t="s">
        <v>80</v>
      </c>
      <c r="C1" s="1" t="s">
        <v>78</v>
      </c>
      <c r="D1" s="1" t="s">
        <v>79</v>
      </c>
      <c r="E1" s="1" t="s">
        <v>6</v>
      </c>
    </row>
    <row r="2" spans="1:5" x14ac:dyDescent="0.25">
      <c r="A2" s="1">
        <v>1</v>
      </c>
    </row>
    <row r="3" spans="1:5" x14ac:dyDescent="0.25">
      <c r="A3" s="1">
        <v>2</v>
      </c>
    </row>
    <row r="4" spans="1:5" x14ac:dyDescent="0.25">
      <c r="A4" s="1">
        <v>3</v>
      </c>
    </row>
    <row r="5" spans="1:5" x14ac:dyDescent="0.25">
      <c r="A5" s="1">
        <v>4</v>
      </c>
    </row>
    <row r="6" spans="1:5" x14ac:dyDescent="0.25">
      <c r="A6" s="1">
        <v>5</v>
      </c>
    </row>
    <row r="7" spans="1:5" x14ac:dyDescent="0.25">
      <c r="A7" s="1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42"/>
  <sheetViews>
    <sheetView workbookViewId="0">
      <selection activeCell="A5" sqref="A5"/>
    </sheetView>
  </sheetViews>
  <sheetFormatPr defaultRowHeight="15" x14ac:dyDescent="0.25"/>
  <cols>
    <col min="1" max="1" width="9.140625" style="11"/>
    <col min="2" max="2" width="9.140625" style="12"/>
    <col min="3" max="3" width="9.140625" style="11"/>
    <col min="4" max="4" width="9.140625" style="12"/>
    <col min="5" max="5" width="9.140625" style="11"/>
    <col min="6" max="6" width="9.140625" style="12"/>
    <col min="7" max="7" width="9.140625" style="11"/>
    <col min="8" max="9" width="9.140625" style="12"/>
    <col min="10" max="10" width="18.5703125" style="12" bestFit="1" customWidth="1"/>
    <col min="11" max="12" width="9.140625" style="12"/>
    <col min="13" max="13" width="14.5703125" style="12" bestFit="1" customWidth="1"/>
    <col min="14" max="15" width="9.140625" style="12"/>
    <col min="16" max="16" width="18.5703125" style="12" bestFit="1" customWidth="1"/>
    <col min="17" max="16384" width="9.140625" style="12"/>
  </cols>
  <sheetData>
    <row r="1" spans="1:7" s="13" customFormat="1" x14ac:dyDescent="0.25">
      <c r="A1" s="14" t="s">
        <v>5</v>
      </c>
    </row>
    <row r="2" spans="1:7" s="13" customFormat="1" x14ac:dyDescent="0.25">
      <c r="A2" s="14"/>
    </row>
    <row r="3" spans="1:7" s="7" customFormat="1" x14ac:dyDescent="0.25">
      <c r="A3" s="18" t="s">
        <v>2</v>
      </c>
      <c r="B3" s="19"/>
      <c r="C3" s="18" t="s">
        <v>1</v>
      </c>
      <c r="D3" s="19"/>
      <c r="E3" s="18" t="s">
        <v>0</v>
      </c>
      <c r="F3" s="19"/>
      <c r="G3" s="6"/>
    </row>
    <row r="4" spans="1:7" s="9" customFormat="1" x14ac:dyDescent="0.25">
      <c r="A4" s="8" t="s">
        <v>3</v>
      </c>
      <c r="B4" s="9" t="s">
        <v>4</v>
      </c>
      <c r="C4" s="8" t="s">
        <v>3</v>
      </c>
      <c r="D4" s="9" t="s">
        <v>4</v>
      </c>
      <c r="E4" s="8" t="s">
        <v>3</v>
      </c>
      <c r="F4" s="9" t="s">
        <v>4</v>
      </c>
      <c r="G4" s="8"/>
    </row>
    <row r="5" spans="1:7" s="5" customFormat="1" x14ac:dyDescent="0.25">
      <c r="A5" s="10"/>
      <c r="B5"/>
      <c r="C5" s="10"/>
      <c r="D5"/>
      <c r="E5" s="10"/>
      <c r="F5"/>
      <c r="G5" s="10"/>
    </row>
    <row r="6" spans="1:7" s="5" customFormat="1" x14ac:dyDescent="0.25">
      <c r="A6" s="10"/>
      <c r="B6"/>
      <c r="C6" s="10"/>
      <c r="D6"/>
      <c r="E6" s="10"/>
      <c r="F6"/>
      <c r="G6" s="10"/>
    </row>
    <row r="7" spans="1:7" x14ac:dyDescent="0.25">
      <c r="A7" s="10"/>
      <c r="B7"/>
      <c r="C7" s="10"/>
      <c r="D7"/>
      <c r="E7" s="10"/>
      <c r="F7"/>
    </row>
    <row r="8" spans="1:7" s="5" customFormat="1" x14ac:dyDescent="0.25">
      <c r="A8" s="10"/>
      <c r="B8"/>
      <c r="C8" s="10"/>
      <c r="D8"/>
      <c r="E8" s="10"/>
      <c r="F8"/>
      <c r="G8" s="10"/>
    </row>
    <row r="9" spans="1:7" s="5" customFormat="1" x14ac:dyDescent="0.25">
      <c r="A9" s="10"/>
      <c r="B9"/>
      <c r="C9" s="10"/>
      <c r="D9"/>
      <c r="E9" s="10"/>
      <c r="F9"/>
      <c r="G9" s="10"/>
    </row>
    <row r="10" spans="1:7" s="5" customFormat="1" x14ac:dyDescent="0.25">
      <c r="A10" s="10"/>
      <c r="B10"/>
      <c r="C10" s="10"/>
      <c r="D10"/>
      <c r="E10" s="10"/>
      <c r="F10"/>
      <c r="G10" s="10"/>
    </row>
    <row r="11" spans="1:7" x14ac:dyDescent="0.25">
      <c r="A11" s="10"/>
      <c r="B11"/>
      <c r="C11" s="10"/>
      <c r="D11"/>
      <c r="E11" s="10"/>
      <c r="F11"/>
    </row>
    <row r="12" spans="1:7" s="5" customFormat="1" x14ac:dyDescent="0.25">
      <c r="A12" s="10"/>
      <c r="B12"/>
      <c r="C12" s="10"/>
      <c r="D12"/>
      <c r="E12" s="10"/>
      <c r="F12"/>
      <c r="G12" s="10"/>
    </row>
    <row r="13" spans="1:7" s="5" customFormat="1" x14ac:dyDescent="0.25">
      <c r="A13" s="10"/>
      <c r="B13"/>
      <c r="C13" s="10"/>
      <c r="D13"/>
      <c r="E13" s="10"/>
      <c r="F13"/>
      <c r="G13" s="10"/>
    </row>
    <row r="14" spans="1:7" x14ac:dyDescent="0.25">
      <c r="A14" s="10"/>
      <c r="B14"/>
      <c r="C14" s="10"/>
      <c r="D14"/>
      <c r="E14" s="10"/>
      <c r="F14"/>
    </row>
    <row r="15" spans="1:7" x14ac:dyDescent="0.25">
      <c r="A15" s="10"/>
      <c r="B15"/>
      <c r="C15" s="10"/>
      <c r="D15"/>
      <c r="E15" s="10"/>
      <c r="F15"/>
    </row>
    <row r="16" spans="1:7" s="5" customFormat="1" x14ac:dyDescent="0.25">
      <c r="A16" s="10"/>
      <c r="B16"/>
      <c r="C16" s="10"/>
      <c r="D16"/>
      <c r="E16" s="10"/>
      <c r="F16"/>
      <c r="G16" s="10"/>
    </row>
    <row r="17" spans="1:7" s="5" customFormat="1" x14ac:dyDescent="0.25">
      <c r="A17" s="10"/>
      <c r="B17"/>
      <c r="C17" s="10"/>
      <c r="D17"/>
      <c r="E17" s="10"/>
      <c r="F17"/>
      <c r="G17" s="10"/>
    </row>
    <row r="18" spans="1:7" s="5" customFormat="1" x14ac:dyDescent="0.25">
      <c r="A18" s="10"/>
      <c r="B18"/>
      <c r="C18" s="10"/>
      <c r="D18"/>
      <c r="E18" s="10"/>
      <c r="F18"/>
      <c r="G18" s="10"/>
    </row>
    <row r="19" spans="1:7" s="5" customFormat="1" x14ac:dyDescent="0.25">
      <c r="A19" s="10"/>
      <c r="B19"/>
      <c r="C19" s="10"/>
      <c r="D19"/>
      <c r="E19" s="10"/>
      <c r="F19"/>
      <c r="G19" s="10"/>
    </row>
    <row r="20" spans="1:7" s="5" customFormat="1" x14ac:dyDescent="0.25">
      <c r="A20" s="10"/>
      <c r="B20"/>
      <c r="C20" s="10"/>
      <c r="D20"/>
      <c r="E20" s="10"/>
      <c r="F20"/>
      <c r="G20" s="10"/>
    </row>
    <row r="21" spans="1:7" s="5" customFormat="1" x14ac:dyDescent="0.25">
      <c r="A21" s="10"/>
      <c r="B21"/>
      <c r="C21" s="10"/>
      <c r="D21"/>
      <c r="E21" s="10"/>
      <c r="F21"/>
      <c r="G21" s="10"/>
    </row>
    <row r="22" spans="1:7" s="5" customFormat="1" x14ac:dyDescent="0.25">
      <c r="A22" s="10"/>
      <c r="B22"/>
      <c r="C22" s="10"/>
      <c r="D22"/>
      <c r="E22" s="10"/>
      <c r="F22"/>
      <c r="G22" s="10"/>
    </row>
    <row r="23" spans="1:7" x14ac:dyDescent="0.25">
      <c r="A23" s="10"/>
      <c r="B23"/>
      <c r="C23" s="10"/>
      <c r="D23"/>
      <c r="E23" s="10"/>
      <c r="F23"/>
    </row>
    <row r="24" spans="1:7" s="5" customFormat="1" x14ac:dyDescent="0.25">
      <c r="A24" s="10"/>
      <c r="B24" s="3"/>
      <c r="C24" s="10"/>
      <c r="D24" s="3"/>
      <c r="E24" s="10"/>
      <c r="F24" s="3"/>
      <c r="G24" s="10"/>
    </row>
    <row r="25" spans="1:7" x14ac:dyDescent="0.25">
      <c r="A25" s="10"/>
      <c r="B25" s="3"/>
      <c r="C25" s="10"/>
      <c r="D25" s="3"/>
      <c r="E25" s="10"/>
      <c r="F25" s="3"/>
    </row>
    <row r="26" spans="1:7" s="5" customFormat="1" x14ac:dyDescent="0.25">
      <c r="A26" s="10"/>
      <c r="B26" s="3"/>
      <c r="C26" s="10"/>
      <c r="D26" s="3"/>
      <c r="E26" s="10"/>
      <c r="F26" s="3"/>
      <c r="G26" s="10"/>
    </row>
    <row r="27" spans="1:7" s="5" customFormat="1" x14ac:dyDescent="0.25">
      <c r="A27" s="10"/>
      <c r="B27" s="3"/>
      <c r="C27" s="10"/>
      <c r="D27" s="3"/>
      <c r="E27" s="10"/>
      <c r="F27" s="3"/>
      <c r="G27" s="10"/>
    </row>
    <row r="28" spans="1:7" x14ac:dyDescent="0.25">
      <c r="A28" s="10"/>
      <c r="B28" s="3"/>
      <c r="C28" s="10"/>
      <c r="D28" s="3"/>
      <c r="E28" s="10"/>
      <c r="F28" s="3"/>
    </row>
    <row r="29" spans="1:7" x14ac:dyDescent="0.25">
      <c r="A29" s="10"/>
      <c r="B29" s="3"/>
      <c r="C29" s="10"/>
      <c r="D29" s="3"/>
      <c r="E29" s="10"/>
      <c r="F29" s="3"/>
    </row>
    <row r="30" spans="1:7" s="5" customFormat="1" x14ac:dyDescent="0.25">
      <c r="A30" s="10"/>
      <c r="B30" s="3"/>
      <c r="C30" s="10"/>
      <c r="D30" s="3"/>
      <c r="E30" s="10"/>
      <c r="F30" s="3"/>
      <c r="G30" s="10"/>
    </row>
    <row r="31" spans="1:7" s="5" customFormat="1" x14ac:dyDescent="0.25">
      <c r="A31" s="10"/>
      <c r="B31" s="3"/>
      <c r="C31" s="10"/>
      <c r="D31" s="3"/>
      <c r="E31" s="10"/>
      <c r="F31" s="3"/>
      <c r="G31" s="10"/>
    </row>
    <row r="32" spans="1:7" s="5" customFormat="1" x14ac:dyDescent="0.25">
      <c r="A32" s="10"/>
      <c r="B32" s="3"/>
      <c r="C32" s="10"/>
      <c r="D32" s="3"/>
      <c r="E32" s="10"/>
      <c r="F32" s="3"/>
      <c r="G32" s="10"/>
    </row>
    <row r="33" spans="1:7" x14ac:dyDescent="0.25">
      <c r="A33" s="10"/>
      <c r="B33" s="3"/>
      <c r="C33" s="10"/>
      <c r="D33" s="3"/>
      <c r="E33" s="10"/>
      <c r="F33" s="3"/>
    </row>
    <row r="34" spans="1:7" x14ac:dyDescent="0.25">
      <c r="A34" s="10"/>
      <c r="B34" s="3"/>
      <c r="C34" s="10"/>
      <c r="D34" s="3"/>
      <c r="E34" s="10"/>
      <c r="F34" s="3"/>
    </row>
    <row r="35" spans="1:7" s="5" customFormat="1" x14ac:dyDescent="0.25">
      <c r="A35" s="10"/>
      <c r="B35" s="3"/>
      <c r="C35" s="10"/>
      <c r="D35" s="3"/>
      <c r="E35" s="10"/>
      <c r="F35" s="3"/>
      <c r="G35" s="10"/>
    </row>
    <row r="36" spans="1:7" s="5" customFormat="1" x14ac:dyDescent="0.25">
      <c r="A36" s="10"/>
      <c r="B36" s="3"/>
      <c r="C36" s="10"/>
      <c r="D36" s="3"/>
      <c r="E36" s="10"/>
      <c r="F36" s="3"/>
      <c r="G36" s="10"/>
    </row>
    <row r="37" spans="1:7" s="5" customFormat="1" x14ac:dyDescent="0.25">
      <c r="A37" s="10"/>
      <c r="B37" s="3"/>
      <c r="C37" s="10"/>
      <c r="D37" s="3"/>
      <c r="E37" s="10"/>
      <c r="F37" s="3"/>
      <c r="G37" s="10"/>
    </row>
    <row r="38" spans="1:7" s="5" customFormat="1" x14ac:dyDescent="0.25">
      <c r="A38" s="10"/>
      <c r="B38" s="3"/>
      <c r="C38" s="10"/>
      <c r="D38" s="3"/>
      <c r="E38" s="10"/>
      <c r="F38" s="3"/>
      <c r="G38" s="10"/>
    </row>
    <row r="39" spans="1:7" s="5" customFormat="1" x14ac:dyDescent="0.25">
      <c r="A39" s="10"/>
      <c r="B39" s="3"/>
      <c r="C39" s="10"/>
      <c r="D39" s="3"/>
      <c r="E39" s="10"/>
      <c r="F39" s="3"/>
      <c r="G39" s="10"/>
    </row>
    <row r="40" spans="1:7" x14ac:dyDescent="0.25">
      <c r="A40" s="10"/>
      <c r="B40" s="3"/>
      <c r="C40" s="10"/>
      <c r="D40" s="3"/>
      <c r="E40" s="10"/>
      <c r="F40" s="3"/>
    </row>
    <row r="41" spans="1:7" x14ac:dyDescent="0.25">
      <c r="A41" s="10"/>
      <c r="B41"/>
      <c r="C41" s="10"/>
      <c r="D41"/>
      <c r="E41" s="10"/>
      <c r="F41"/>
    </row>
    <row r="42" spans="1:7" x14ac:dyDescent="0.25">
      <c r="A42" s="10"/>
      <c r="B42"/>
      <c r="C42" s="10"/>
      <c r="D42"/>
      <c r="E42" s="10"/>
      <c r="F42"/>
    </row>
    <row r="43" spans="1:7" s="5" customFormat="1" x14ac:dyDescent="0.25">
      <c r="A43" s="10"/>
      <c r="B43"/>
      <c r="C43" s="10"/>
      <c r="D43"/>
      <c r="E43" s="10"/>
      <c r="F43"/>
      <c r="G43" s="10"/>
    </row>
    <row r="44" spans="1:7" s="5" customFormat="1" x14ac:dyDescent="0.25">
      <c r="A44" s="10"/>
      <c r="B44"/>
      <c r="C44" s="10"/>
      <c r="D44"/>
      <c r="E44" s="10"/>
      <c r="F44"/>
      <c r="G44" s="10"/>
    </row>
    <row r="45" spans="1:7" x14ac:dyDescent="0.25">
      <c r="A45" s="10"/>
      <c r="B45"/>
      <c r="C45" s="10"/>
      <c r="D45"/>
      <c r="E45" s="10"/>
      <c r="F45"/>
    </row>
    <row r="46" spans="1:7" s="5" customFormat="1" x14ac:dyDescent="0.25">
      <c r="A46" s="10"/>
      <c r="B46"/>
      <c r="C46" s="10"/>
      <c r="D46"/>
      <c r="E46" s="10"/>
      <c r="F46"/>
      <c r="G46" s="10"/>
    </row>
    <row r="47" spans="1:7" s="5" customFormat="1" x14ac:dyDescent="0.25">
      <c r="A47" s="10"/>
      <c r="B47"/>
      <c r="C47" s="10"/>
      <c r="D47"/>
      <c r="E47" s="10"/>
      <c r="F47"/>
      <c r="G47" s="10"/>
    </row>
    <row r="48" spans="1:7" x14ac:dyDescent="0.25">
      <c r="A48" s="10"/>
      <c r="B48"/>
      <c r="C48" s="10"/>
      <c r="D48"/>
      <c r="E48" s="10"/>
      <c r="F48"/>
    </row>
    <row r="49" spans="1:7" s="5" customFormat="1" x14ac:dyDescent="0.25">
      <c r="A49" s="10"/>
      <c r="B49"/>
      <c r="C49" s="10"/>
      <c r="D49"/>
      <c r="E49" s="10"/>
      <c r="F49"/>
      <c r="G49" s="10"/>
    </row>
    <row r="50" spans="1:7" x14ac:dyDescent="0.25">
      <c r="A50" s="10"/>
      <c r="B50"/>
      <c r="C50" s="10"/>
      <c r="D50"/>
      <c r="E50" s="10"/>
      <c r="F50"/>
    </row>
    <row r="51" spans="1:7" s="5" customFormat="1" x14ac:dyDescent="0.25">
      <c r="A51" s="10"/>
      <c r="B51"/>
      <c r="C51" s="10"/>
      <c r="D51"/>
      <c r="E51" s="10"/>
      <c r="F51"/>
      <c r="G51" s="10"/>
    </row>
    <row r="52" spans="1:7" s="5" customFormat="1" x14ac:dyDescent="0.25">
      <c r="A52" s="10"/>
      <c r="B52"/>
      <c r="C52" s="10"/>
      <c r="D52"/>
      <c r="E52" s="10"/>
      <c r="F52"/>
      <c r="G52" s="10"/>
    </row>
    <row r="53" spans="1:7" x14ac:dyDescent="0.25">
      <c r="A53" s="10"/>
      <c r="B53"/>
      <c r="C53" s="10"/>
      <c r="D53"/>
      <c r="E53" s="10"/>
      <c r="F53"/>
    </row>
    <row r="54" spans="1:7" s="5" customFormat="1" x14ac:dyDescent="0.25">
      <c r="A54" s="10"/>
      <c r="B54"/>
      <c r="C54" s="10"/>
      <c r="D54"/>
      <c r="E54" s="10"/>
      <c r="F54"/>
      <c r="G54" s="10"/>
    </row>
    <row r="55" spans="1:7" s="5" customFormat="1" x14ac:dyDescent="0.25">
      <c r="A55" s="10"/>
      <c r="B55"/>
      <c r="C55" s="10"/>
      <c r="D55"/>
      <c r="E55" s="10"/>
      <c r="F55"/>
      <c r="G55" s="10"/>
    </row>
    <row r="56" spans="1:7" s="5" customFormat="1" x14ac:dyDescent="0.25">
      <c r="A56" s="10"/>
      <c r="B56"/>
      <c r="C56" s="10"/>
      <c r="D56"/>
      <c r="E56" s="10"/>
      <c r="F56"/>
      <c r="G56" s="10"/>
    </row>
    <row r="57" spans="1:7" s="5" customFormat="1" x14ac:dyDescent="0.25">
      <c r="A57" s="10"/>
      <c r="B57"/>
      <c r="C57" s="10"/>
      <c r="D57"/>
      <c r="E57" s="10"/>
      <c r="F57"/>
      <c r="G57" s="10"/>
    </row>
    <row r="58" spans="1:7" s="5" customFormat="1" x14ac:dyDescent="0.25">
      <c r="A58" s="10"/>
      <c r="B58"/>
      <c r="C58" s="10"/>
      <c r="D58"/>
      <c r="E58" s="10"/>
      <c r="F58"/>
      <c r="G58" s="10"/>
    </row>
    <row r="59" spans="1:7" s="5" customFormat="1" x14ac:dyDescent="0.25">
      <c r="A59" s="10"/>
      <c r="B59"/>
      <c r="C59" s="10"/>
      <c r="D59"/>
      <c r="E59" s="10"/>
      <c r="F59"/>
      <c r="G59" s="10"/>
    </row>
    <row r="60" spans="1:7" s="5" customFormat="1" x14ac:dyDescent="0.25">
      <c r="A60" s="10"/>
      <c r="B60"/>
      <c r="C60" s="10"/>
      <c r="D60"/>
      <c r="E60" s="10"/>
      <c r="F60"/>
      <c r="G60" s="10"/>
    </row>
    <row r="61" spans="1:7" s="5" customFormat="1" x14ac:dyDescent="0.25">
      <c r="A61" s="10"/>
      <c r="B61"/>
      <c r="C61" s="10"/>
      <c r="D61"/>
      <c r="E61" s="10"/>
      <c r="F61"/>
      <c r="G61" s="10"/>
    </row>
    <row r="62" spans="1:7" s="5" customFormat="1" x14ac:dyDescent="0.25">
      <c r="A62" s="10"/>
      <c r="B62"/>
      <c r="C62" s="10"/>
      <c r="D62"/>
      <c r="E62" s="10"/>
      <c r="F62"/>
      <c r="G62" s="10"/>
    </row>
    <row r="63" spans="1:7" x14ac:dyDescent="0.25">
      <c r="A63" s="10"/>
      <c r="B63"/>
      <c r="C63" s="10"/>
      <c r="D63"/>
      <c r="E63" s="10"/>
      <c r="F63"/>
    </row>
    <row r="64" spans="1:7" s="5" customFormat="1" x14ac:dyDescent="0.25">
      <c r="A64" s="10"/>
      <c r="B64"/>
      <c r="C64" s="10"/>
      <c r="D64"/>
      <c r="E64" s="10"/>
      <c r="F64"/>
      <c r="G64" s="10"/>
    </row>
    <row r="65" spans="1:7" s="5" customFormat="1" x14ac:dyDescent="0.25">
      <c r="A65" s="10"/>
      <c r="B65"/>
      <c r="C65" s="10"/>
      <c r="D65"/>
      <c r="E65" s="10"/>
      <c r="F65"/>
      <c r="G65" s="10"/>
    </row>
    <row r="66" spans="1:7" x14ac:dyDescent="0.25">
      <c r="A66" s="10"/>
      <c r="B66"/>
      <c r="C66" s="10"/>
      <c r="D66"/>
      <c r="E66" s="10"/>
      <c r="F66"/>
    </row>
    <row r="67" spans="1:7" x14ac:dyDescent="0.25">
      <c r="A67" s="10"/>
      <c r="B67"/>
      <c r="C67" s="10"/>
      <c r="D67"/>
      <c r="E67" s="10"/>
      <c r="F67"/>
    </row>
    <row r="68" spans="1:7" x14ac:dyDescent="0.25">
      <c r="A68" s="10"/>
      <c r="B68"/>
      <c r="C68" s="10"/>
      <c r="D68"/>
      <c r="E68" s="10"/>
      <c r="F68"/>
    </row>
    <row r="69" spans="1:7" s="5" customFormat="1" x14ac:dyDescent="0.25">
      <c r="A69" s="10"/>
      <c r="B69"/>
      <c r="C69" s="10"/>
      <c r="D69"/>
      <c r="E69" s="10"/>
      <c r="F69"/>
      <c r="G69" s="10"/>
    </row>
    <row r="70" spans="1:7" x14ac:dyDescent="0.25">
      <c r="A70" s="10"/>
      <c r="B70"/>
      <c r="C70" s="10"/>
      <c r="D70"/>
      <c r="E70" s="10"/>
      <c r="F70"/>
    </row>
    <row r="71" spans="1:7" s="5" customFormat="1" x14ac:dyDescent="0.25">
      <c r="A71" s="10"/>
      <c r="B71"/>
      <c r="C71" s="10"/>
      <c r="D71"/>
      <c r="E71" s="10"/>
      <c r="F71"/>
      <c r="G71" s="10"/>
    </row>
    <row r="72" spans="1:7" s="5" customFormat="1" x14ac:dyDescent="0.25">
      <c r="A72" s="10"/>
      <c r="B72"/>
      <c r="C72" s="10"/>
      <c r="D72"/>
      <c r="E72" s="10"/>
      <c r="F72"/>
      <c r="G72" s="10"/>
    </row>
    <row r="73" spans="1:7" x14ac:dyDescent="0.25">
      <c r="A73" s="10"/>
      <c r="B73"/>
      <c r="C73" s="10"/>
      <c r="D73"/>
      <c r="E73" s="10"/>
      <c r="F73"/>
    </row>
    <row r="74" spans="1:7" x14ac:dyDescent="0.25">
      <c r="A74" s="10"/>
      <c r="B74"/>
      <c r="C74" s="10"/>
      <c r="D74"/>
      <c r="E74" s="10"/>
      <c r="F74"/>
    </row>
    <row r="75" spans="1:7" s="5" customFormat="1" x14ac:dyDescent="0.25">
      <c r="A75" s="10"/>
      <c r="B75"/>
      <c r="C75" s="10"/>
      <c r="D75"/>
      <c r="E75" s="10"/>
      <c r="F75"/>
      <c r="G75" s="10"/>
    </row>
    <row r="76" spans="1:7" s="5" customFormat="1" x14ac:dyDescent="0.25">
      <c r="A76" s="10"/>
      <c r="B76"/>
      <c r="C76" s="10"/>
      <c r="D76"/>
      <c r="E76" s="10"/>
      <c r="F76"/>
      <c r="G76" s="10"/>
    </row>
    <row r="77" spans="1:7" s="5" customFormat="1" x14ac:dyDescent="0.25">
      <c r="A77" s="10"/>
      <c r="B77"/>
      <c r="C77" s="10"/>
      <c r="D77"/>
      <c r="E77" s="10"/>
      <c r="F77"/>
      <c r="G77" s="10"/>
    </row>
    <row r="78" spans="1:7" s="5" customFormat="1" x14ac:dyDescent="0.25">
      <c r="A78" s="10"/>
      <c r="B78"/>
      <c r="C78" s="10"/>
      <c r="D78"/>
      <c r="E78" s="10"/>
      <c r="F78"/>
      <c r="G78" s="10"/>
    </row>
    <row r="79" spans="1:7" s="5" customFormat="1" x14ac:dyDescent="0.25">
      <c r="A79" s="10"/>
      <c r="B79"/>
      <c r="C79" s="10"/>
      <c r="D79"/>
      <c r="E79" s="10"/>
      <c r="F79"/>
      <c r="G79" s="10"/>
    </row>
    <row r="80" spans="1:7" s="5" customFormat="1" x14ac:dyDescent="0.25">
      <c r="A80" s="10"/>
      <c r="B80"/>
      <c r="C80" s="10"/>
      <c r="D80"/>
      <c r="E80" s="10"/>
      <c r="F80"/>
      <c r="G80" s="10"/>
    </row>
    <row r="81" spans="1:7" x14ac:dyDescent="0.25">
      <c r="A81" s="10"/>
      <c r="B81"/>
      <c r="C81" s="10"/>
      <c r="D81"/>
      <c r="E81" s="10"/>
      <c r="F81"/>
    </row>
    <row r="82" spans="1:7" s="5" customFormat="1" x14ac:dyDescent="0.25">
      <c r="A82" s="10"/>
      <c r="B82"/>
      <c r="C82" s="10"/>
      <c r="D82"/>
      <c r="E82" s="10"/>
      <c r="F82"/>
      <c r="G82" s="10"/>
    </row>
    <row r="83" spans="1:7" s="5" customFormat="1" x14ac:dyDescent="0.25">
      <c r="A83" s="10"/>
      <c r="B83"/>
      <c r="C83" s="10"/>
      <c r="D83"/>
      <c r="E83" s="10"/>
      <c r="F83"/>
      <c r="G83" s="10"/>
    </row>
    <row r="84" spans="1:7" s="5" customFormat="1" x14ac:dyDescent="0.25">
      <c r="A84" s="10"/>
      <c r="B84"/>
      <c r="C84" s="10"/>
      <c r="D84"/>
      <c r="E84" s="10"/>
      <c r="F84"/>
      <c r="G84" s="10"/>
    </row>
    <row r="85" spans="1:7" s="5" customFormat="1" x14ac:dyDescent="0.25">
      <c r="A85" s="10"/>
      <c r="B85"/>
      <c r="C85" s="10"/>
      <c r="D85"/>
      <c r="E85" s="10"/>
      <c r="F85"/>
      <c r="G85" s="10"/>
    </row>
    <row r="86" spans="1:7" s="5" customFormat="1" x14ac:dyDescent="0.25">
      <c r="A86" s="10"/>
      <c r="B86"/>
      <c r="C86" s="10"/>
      <c r="D86"/>
      <c r="E86" s="10"/>
      <c r="F86"/>
      <c r="G86" s="10"/>
    </row>
    <row r="87" spans="1:7" s="5" customFormat="1" x14ac:dyDescent="0.25">
      <c r="A87" s="10"/>
      <c r="B87"/>
      <c r="C87" s="10"/>
      <c r="D87"/>
      <c r="E87" s="10"/>
      <c r="F87"/>
      <c r="G87" s="10"/>
    </row>
    <row r="88" spans="1:7" x14ac:dyDescent="0.25">
      <c r="A88" s="10"/>
      <c r="B88"/>
      <c r="C88" s="10"/>
      <c r="D88"/>
      <c r="E88" s="10"/>
      <c r="F88"/>
    </row>
    <row r="89" spans="1:7" s="5" customFormat="1" x14ac:dyDescent="0.25">
      <c r="A89" s="10"/>
      <c r="B89"/>
      <c r="C89" s="10"/>
      <c r="D89"/>
      <c r="E89" s="10"/>
      <c r="F89"/>
      <c r="G89" s="10"/>
    </row>
    <row r="90" spans="1:7" s="5" customFormat="1" x14ac:dyDescent="0.25">
      <c r="A90" s="10"/>
      <c r="B90"/>
      <c r="C90" s="10"/>
      <c r="D90"/>
      <c r="E90" s="10"/>
      <c r="F90"/>
      <c r="G90" s="10"/>
    </row>
    <row r="91" spans="1:7" x14ac:dyDescent="0.25">
      <c r="A91" s="10"/>
      <c r="B91"/>
      <c r="C91" s="10"/>
      <c r="D91"/>
      <c r="E91" s="10"/>
      <c r="F91"/>
    </row>
    <row r="92" spans="1:7" s="5" customFormat="1" x14ac:dyDescent="0.25">
      <c r="A92" s="10"/>
      <c r="B92"/>
      <c r="C92" s="10"/>
      <c r="D92"/>
      <c r="E92" s="10"/>
      <c r="F92"/>
      <c r="G92" s="10"/>
    </row>
    <row r="93" spans="1:7" s="5" customFormat="1" x14ac:dyDescent="0.25">
      <c r="A93" s="10"/>
      <c r="B93"/>
      <c r="C93" s="10"/>
      <c r="D93"/>
      <c r="E93" s="10"/>
      <c r="F93"/>
      <c r="G93" s="10"/>
    </row>
    <row r="94" spans="1:7" x14ac:dyDescent="0.25">
      <c r="A94" s="10"/>
      <c r="B94"/>
      <c r="C94" s="10"/>
      <c r="D94"/>
      <c r="E94" s="10"/>
      <c r="F94"/>
    </row>
    <row r="95" spans="1:7" s="5" customFormat="1" x14ac:dyDescent="0.25">
      <c r="A95" s="11"/>
      <c r="B95" s="3"/>
      <c r="C95" s="11"/>
      <c r="D95" s="3"/>
      <c r="E95" s="11"/>
      <c r="F95" s="3"/>
      <c r="G95" s="10"/>
    </row>
    <row r="96" spans="1:7" x14ac:dyDescent="0.25">
      <c r="B96" s="3"/>
      <c r="D96" s="3"/>
      <c r="F96" s="3"/>
    </row>
    <row r="97" spans="1:7" s="5" customFormat="1" x14ac:dyDescent="0.25">
      <c r="A97" s="11"/>
      <c r="B97" s="3"/>
      <c r="C97" s="11"/>
      <c r="D97" s="3"/>
      <c r="E97" s="11"/>
      <c r="F97" s="3"/>
      <c r="G97" s="10"/>
    </row>
    <row r="98" spans="1:7" s="5" customFormat="1" x14ac:dyDescent="0.25">
      <c r="A98" s="11"/>
      <c r="B98" s="3"/>
      <c r="C98" s="11"/>
      <c r="D98" s="3"/>
      <c r="E98" s="11"/>
      <c r="F98" s="3"/>
      <c r="G98" s="10"/>
    </row>
    <row r="99" spans="1:7" x14ac:dyDescent="0.25">
      <c r="B99" s="3"/>
      <c r="D99" s="3"/>
      <c r="F99" s="3"/>
    </row>
    <row r="100" spans="1:7" s="5" customFormat="1" x14ac:dyDescent="0.25">
      <c r="A100" s="11"/>
      <c r="B100" s="3"/>
      <c r="C100" s="11"/>
      <c r="D100" s="3"/>
      <c r="E100" s="11"/>
      <c r="F100" s="3"/>
      <c r="G100" s="10"/>
    </row>
    <row r="101" spans="1:7" s="5" customFormat="1" x14ac:dyDescent="0.25">
      <c r="A101" s="11"/>
      <c r="B101" s="3"/>
      <c r="C101" s="11"/>
      <c r="D101" s="3"/>
      <c r="E101" s="11"/>
      <c r="F101" s="3"/>
      <c r="G101" s="10"/>
    </row>
    <row r="102" spans="1:7" s="5" customFormat="1" x14ac:dyDescent="0.25">
      <c r="A102" s="11"/>
      <c r="B102" s="3"/>
      <c r="C102" s="11"/>
      <c r="D102" s="3"/>
      <c r="E102" s="11"/>
      <c r="F102" s="3"/>
      <c r="G102" s="10"/>
    </row>
    <row r="103" spans="1:7" s="5" customFormat="1" x14ac:dyDescent="0.25">
      <c r="A103" s="11"/>
      <c r="B103" s="3"/>
      <c r="C103" s="11"/>
      <c r="D103" s="3"/>
      <c r="E103" s="11"/>
      <c r="F103" s="3"/>
      <c r="G103" s="10"/>
    </row>
    <row r="104" spans="1:7" x14ac:dyDescent="0.25">
      <c r="B104" s="3"/>
      <c r="D104" s="3"/>
      <c r="F104" s="3"/>
    </row>
    <row r="105" spans="1:7" x14ac:dyDescent="0.25">
      <c r="B105" s="3"/>
      <c r="D105" s="3"/>
      <c r="F105" s="3"/>
    </row>
    <row r="106" spans="1:7" x14ac:dyDescent="0.25">
      <c r="B106" s="3"/>
      <c r="D106" s="3"/>
      <c r="F106" s="3"/>
    </row>
    <row r="107" spans="1:7" x14ac:dyDescent="0.25">
      <c r="B107" s="3"/>
      <c r="D107" s="3"/>
      <c r="F107" s="3"/>
    </row>
    <row r="108" spans="1:7" x14ac:dyDescent="0.25">
      <c r="B108" s="3"/>
      <c r="D108" s="3"/>
      <c r="F108" s="3"/>
    </row>
    <row r="109" spans="1:7" s="5" customFormat="1" x14ac:dyDescent="0.25">
      <c r="A109" s="11"/>
      <c r="B109" s="3"/>
      <c r="C109" s="11"/>
      <c r="D109" s="3"/>
      <c r="E109" s="11"/>
      <c r="F109" s="3"/>
      <c r="G109" s="10"/>
    </row>
    <row r="110" spans="1:7" x14ac:dyDescent="0.25">
      <c r="B110" s="3"/>
      <c r="D110" s="3"/>
      <c r="F110" s="3"/>
    </row>
    <row r="111" spans="1:7" s="5" customFormat="1" x14ac:dyDescent="0.25">
      <c r="A111" s="11"/>
      <c r="B111" s="3"/>
      <c r="C111" s="11"/>
      <c r="D111" s="3"/>
      <c r="E111" s="11"/>
      <c r="F111" s="3"/>
      <c r="G111" s="10"/>
    </row>
    <row r="112" spans="1:7" x14ac:dyDescent="0.25">
      <c r="B112" s="3"/>
      <c r="D112" s="3"/>
      <c r="F112" s="3"/>
    </row>
    <row r="113" spans="1:7" x14ac:dyDescent="0.25">
      <c r="B113" s="3"/>
      <c r="D113" s="3"/>
      <c r="F113" s="3"/>
    </row>
    <row r="114" spans="1:7" s="5" customFormat="1" x14ac:dyDescent="0.25">
      <c r="A114" s="11"/>
      <c r="B114" s="3"/>
      <c r="C114" s="11"/>
      <c r="D114" s="3"/>
      <c r="E114" s="11"/>
      <c r="F114" s="3"/>
      <c r="G114" s="10"/>
    </row>
    <row r="115" spans="1:7" s="5" customFormat="1" x14ac:dyDescent="0.25">
      <c r="A115" s="11"/>
      <c r="B115" s="3"/>
      <c r="C115" s="11"/>
      <c r="D115" s="3"/>
      <c r="E115" s="11"/>
      <c r="F115" s="3"/>
      <c r="G115" s="10"/>
    </row>
    <row r="116" spans="1:7" s="5" customFormat="1" x14ac:dyDescent="0.25">
      <c r="A116" s="11"/>
      <c r="B116" s="3"/>
      <c r="C116" s="11"/>
      <c r="D116" s="3"/>
      <c r="E116" s="11"/>
      <c r="F116" s="3"/>
      <c r="G116" s="10"/>
    </row>
    <row r="118" spans="1:7" s="5" customFormat="1" x14ac:dyDescent="0.25">
      <c r="A118" s="10"/>
      <c r="C118" s="10"/>
      <c r="E118" s="10"/>
      <c r="G118" s="10"/>
    </row>
    <row r="119" spans="1:7" s="5" customFormat="1" x14ac:dyDescent="0.25">
      <c r="A119" s="10"/>
      <c r="C119" s="10"/>
      <c r="E119" s="10"/>
      <c r="G119" s="10"/>
    </row>
    <row r="120" spans="1:7" s="5" customFormat="1" x14ac:dyDescent="0.25">
      <c r="A120" s="10"/>
      <c r="C120" s="10"/>
      <c r="E120" s="10"/>
      <c r="G120" s="10"/>
    </row>
    <row r="122" spans="1:7" s="5" customFormat="1" x14ac:dyDescent="0.25">
      <c r="A122" s="10"/>
      <c r="C122" s="10"/>
      <c r="E122" s="10"/>
      <c r="G122" s="10"/>
    </row>
    <row r="126" spans="1:7" s="5" customFormat="1" x14ac:dyDescent="0.25">
      <c r="A126" s="10"/>
      <c r="C126" s="10"/>
      <c r="E126" s="10"/>
      <c r="G126" s="10"/>
    </row>
    <row r="127" spans="1:7" s="5" customFormat="1" x14ac:dyDescent="0.25">
      <c r="A127" s="10"/>
      <c r="C127" s="10"/>
      <c r="E127" s="10"/>
      <c r="G127" s="10"/>
    </row>
    <row r="129" spans="1:7" s="5" customFormat="1" x14ac:dyDescent="0.25">
      <c r="A129" s="10"/>
      <c r="C129" s="10"/>
      <c r="E129" s="10"/>
      <c r="G129" s="10"/>
    </row>
    <row r="130" spans="1:7" s="5" customFormat="1" x14ac:dyDescent="0.25">
      <c r="A130" s="10"/>
      <c r="C130" s="10"/>
      <c r="E130" s="10"/>
      <c r="G130" s="10"/>
    </row>
    <row r="131" spans="1:7" s="5" customFormat="1" x14ac:dyDescent="0.25">
      <c r="A131" s="10"/>
      <c r="C131" s="10"/>
      <c r="E131" s="10"/>
      <c r="G131" s="10"/>
    </row>
    <row r="132" spans="1:7" s="5" customFormat="1" x14ac:dyDescent="0.25">
      <c r="A132" s="10"/>
      <c r="C132" s="10"/>
      <c r="E132" s="10"/>
      <c r="G132" s="10"/>
    </row>
    <row r="134" spans="1:7" s="5" customFormat="1" x14ac:dyDescent="0.25">
      <c r="A134" s="10"/>
      <c r="C134" s="10"/>
      <c r="E134" s="10"/>
      <c r="G134" s="10"/>
    </row>
    <row r="135" spans="1:7" s="5" customFormat="1" x14ac:dyDescent="0.25">
      <c r="A135" s="10"/>
      <c r="C135" s="10"/>
      <c r="E135" s="10"/>
      <c r="G135" s="10"/>
    </row>
    <row r="136" spans="1:7" s="5" customFormat="1" x14ac:dyDescent="0.25">
      <c r="A136" s="10"/>
      <c r="C136" s="10"/>
      <c r="E136" s="10"/>
      <c r="G136" s="10"/>
    </row>
    <row r="139" spans="1:7" s="5" customFormat="1" x14ac:dyDescent="0.25">
      <c r="A139" s="10"/>
      <c r="C139" s="10"/>
      <c r="E139" s="10"/>
      <c r="G139" s="10"/>
    </row>
    <row r="148" spans="1:7" s="5" customFormat="1" x14ac:dyDescent="0.25">
      <c r="A148" s="10"/>
      <c r="C148" s="10"/>
      <c r="E148" s="10"/>
      <c r="G148" s="10"/>
    </row>
    <row r="151" spans="1:7" s="5" customFormat="1" x14ac:dyDescent="0.25">
      <c r="A151" s="10"/>
      <c r="C151" s="10"/>
      <c r="E151" s="10"/>
      <c r="G151" s="10"/>
    </row>
    <row r="152" spans="1:7" s="5" customFormat="1" x14ac:dyDescent="0.25">
      <c r="A152" s="10"/>
      <c r="C152" s="10"/>
      <c r="E152" s="10"/>
      <c r="G152" s="10"/>
    </row>
    <row r="153" spans="1:7" s="5" customFormat="1" x14ac:dyDescent="0.25">
      <c r="A153" s="10"/>
      <c r="C153" s="10"/>
      <c r="E153" s="10"/>
      <c r="G153" s="10"/>
    </row>
    <row r="158" spans="1:7" s="5" customFormat="1" x14ac:dyDescent="0.25">
      <c r="A158" s="10"/>
      <c r="C158" s="10"/>
      <c r="E158" s="10"/>
      <c r="G158" s="10"/>
    </row>
    <row r="159" spans="1:7" s="5" customFormat="1" x14ac:dyDescent="0.25">
      <c r="A159" s="10"/>
      <c r="C159" s="10"/>
      <c r="E159" s="10"/>
      <c r="G159" s="10"/>
    </row>
    <row r="162" spans="1:7" s="5" customFormat="1" x14ac:dyDescent="0.25">
      <c r="A162" s="10"/>
      <c r="C162" s="10"/>
      <c r="E162" s="10"/>
      <c r="G162" s="10"/>
    </row>
    <row r="164" spans="1:7" s="5" customFormat="1" x14ac:dyDescent="0.25">
      <c r="A164" s="10"/>
      <c r="C164" s="10"/>
      <c r="E164" s="10"/>
      <c r="G164" s="10"/>
    </row>
    <row r="177" spans="1:7" s="5" customFormat="1" x14ac:dyDescent="0.25">
      <c r="A177" s="10"/>
      <c r="C177" s="10"/>
      <c r="E177" s="10"/>
      <c r="G177" s="10"/>
    </row>
    <row r="178" spans="1:7" s="5" customFormat="1" x14ac:dyDescent="0.25">
      <c r="A178" s="10"/>
      <c r="C178" s="10"/>
      <c r="E178" s="10"/>
      <c r="G178" s="10"/>
    </row>
    <row r="179" spans="1:7" s="5" customFormat="1" x14ac:dyDescent="0.25">
      <c r="A179" s="10"/>
      <c r="C179" s="10"/>
      <c r="E179" s="10"/>
      <c r="G179" s="10"/>
    </row>
    <row r="182" spans="1:7" s="5" customFormat="1" x14ac:dyDescent="0.25">
      <c r="A182" s="10"/>
      <c r="C182" s="10"/>
      <c r="E182" s="10"/>
      <c r="G182" s="10"/>
    </row>
    <row r="185" spans="1:7" s="5" customFormat="1" x14ac:dyDescent="0.25">
      <c r="A185" s="10"/>
      <c r="C185" s="10"/>
      <c r="E185" s="10"/>
      <c r="G185" s="10"/>
    </row>
    <row r="188" spans="1:7" s="5" customFormat="1" x14ac:dyDescent="0.25">
      <c r="A188" s="10"/>
      <c r="C188" s="10"/>
      <c r="E188" s="10"/>
      <c r="G188" s="10"/>
    </row>
    <row r="190" spans="1:7" s="5" customFormat="1" x14ac:dyDescent="0.25">
      <c r="A190" s="10"/>
      <c r="C190" s="10"/>
      <c r="E190" s="10"/>
      <c r="G190" s="10"/>
    </row>
    <row r="192" spans="1:7" s="5" customFormat="1" x14ac:dyDescent="0.25">
      <c r="A192" s="10"/>
      <c r="C192" s="10"/>
      <c r="E192" s="10"/>
      <c r="G192" s="10"/>
    </row>
    <row r="193" spans="1:7" s="5" customFormat="1" x14ac:dyDescent="0.25">
      <c r="A193" s="10"/>
      <c r="C193" s="10"/>
      <c r="E193" s="10"/>
      <c r="G193" s="10"/>
    </row>
    <row r="195" spans="1:7" s="5" customFormat="1" x14ac:dyDescent="0.25">
      <c r="A195" s="10"/>
      <c r="C195" s="10"/>
      <c r="E195" s="10"/>
      <c r="G195" s="10"/>
    </row>
    <row r="197" spans="1:7" s="5" customFormat="1" x14ac:dyDescent="0.25">
      <c r="A197" s="10"/>
      <c r="C197" s="10"/>
      <c r="E197" s="10"/>
      <c r="G197" s="10"/>
    </row>
    <row r="199" spans="1:7" s="5" customFormat="1" x14ac:dyDescent="0.25">
      <c r="A199" s="10"/>
      <c r="C199" s="10"/>
      <c r="E199" s="10"/>
      <c r="G199" s="10"/>
    </row>
    <row r="203" spans="1:7" s="5" customFormat="1" x14ac:dyDescent="0.25">
      <c r="A203" s="10"/>
      <c r="C203" s="10"/>
      <c r="E203" s="10"/>
      <c r="G203" s="10"/>
    </row>
    <row r="204" spans="1:7" s="5" customFormat="1" x14ac:dyDescent="0.25">
      <c r="A204" s="10"/>
      <c r="C204" s="10"/>
      <c r="E204" s="10"/>
      <c r="G204" s="10"/>
    </row>
    <row r="205" spans="1:7" s="5" customFormat="1" x14ac:dyDescent="0.25">
      <c r="A205" s="10"/>
      <c r="C205" s="10"/>
      <c r="E205" s="10"/>
      <c r="G205" s="10"/>
    </row>
    <row r="206" spans="1:7" s="5" customFormat="1" x14ac:dyDescent="0.25">
      <c r="A206" s="10"/>
      <c r="C206" s="10"/>
      <c r="E206" s="10"/>
      <c r="G206" s="10"/>
    </row>
    <row r="207" spans="1:7" s="5" customFormat="1" x14ac:dyDescent="0.25">
      <c r="A207" s="10"/>
      <c r="C207" s="10"/>
      <c r="E207" s="10"/>
      <c r="G207" s="10"/>
    </row>
    <row r="209" spans="1:7" s="5" customFormat="1" x14ac:dyDescent="0.25">
      <c r="A209" s="10"/>
      <c r="C209" s="10"/>
      <c r="E209" s="10"/>
      <c r="G209" s="10"/>
    </row>
    <row r="211" spans="1:7" s="5" customFormat="1" x14ac:dyDescent="0.25">
      <c r="A211" s="10"/>
      <c r="C211" s="10"/>
      <c r="E211" s="10"/>
      <c r="G211" s="10"/>
    </row>
    <row r="212" spans="1:7" s="5" customFormat="1" x14ac:dyDescent="0.25">
      <c r="A212" s="10"/>
      <c r="C212" s="10"/>
      <c r="E212" s="10"/>
      <c r="G212" s="10"/>
    </row>
    <row r="213" spans="1:7" s="5" customFormat="1" x14ac:dyDescent="0.25">
      <c r="A213" s="10"/>
      <c r="C213" s="10"/>
      <c r="E213" s="10"/>
      <c r="G213" s="10"/>
    </row>
    <row r="215" spans="1:7" s="5" customFormat="1" x14ac:dyDescent="0.25">
      <c r="A215" s="10"/>
      <c r="C215" s="10"/>
      <c r="E215" s="10"/>
      <c r="G215" s="10"/>
    </row>
    <row r="218" spans="1:7" s="5" customFormat="1" x14ac:dyDescent="0.25">
      <c r="A218" s="10"/>
      <c r="C218" s="10"/>
      <c r="E218" s="10"/>
      <c r="G218" s="10"/>
    </row>
    <row r="221" spans="1:7" s="5" customFormat="1" x14ac:dyDescent="0.25">
      <c r="A221" s="10"/>
      <c r="C221" s="10"/>
      <c r="E221" s="10"/>
      <c r="G221" s="10"/>
    </row>
    <row r="226" spans="1:7" s="5" customFormat="1" x14ac:dyDescent="0.25">
      <c r="A226" s="10"/>
      <c r="C226" s="10"/>
      <c r="E226" s="10"/>
      <c r="G226" s="10"/>
    </row>
    <row r="227" spans="1:7" s="5" customFormat="1" x14ac:dyDescent="0.25">
      <c r="A227" s="10"/>
      <c r="C227" s="10"/>
      <c r="E227" s="10"/>
      <c r="G227" s="10"/>
    </row>
    <row r="228" spans="1:7" s="5" customFormat="1" x14ac:dyDescent="0.25">
      <c r="A228" s="10"/>
      <c r="C228" s="10"/>
      <c r="E228" s="10"/>
      <c r="G228" s="10"/>
    </row>
    <row r="234" spans="1:7" s="5" customFormat="1" x14ac:dyDescent="0.25">
      <c r="A234" s="10"/>
      <c r="C234" s="10"/>
      <c r="E234" s="10"/>
      <c r="G234" s="10"/>
    </row>
    <row r="240" spans="1:7" s="5" customFormat="1" x14ac:dyDescent="0.25">
      <c r="A240" s="10"/>
      <c r="C240" s="10"/>
      <c r="E240" s="10"/>
      <c r="G240" s="10"/>
    </row>
    <row r="242" spans="1:7" s="5" customFormat="1" x14ac:dyDescent="0.25">
      <c r="A242" s="10"/>
      <c r="C242" s="10"/>
      <c r="E242" s="10"/>
      <c r="G242" s="10"/>
    </row>
  </sheetData>
  <mergeCells count="3">
    <mergeCell ref="A3:B3"/>
    <mergeCell ref="E3:F3"/>
    <mergeCell ref="C3:D3"/>
  </mergeCells>
  <conditionalFormatting sqref="A5:A116">
    <cfRule type="containsText" dxfId="5" priority="5" operator="containsText" text="dk">
      <formula>NOT(ISERROR(SEARCH("dk",A5)))</formula>
    </cfRule>
    <cfRule type="containsText" dxfId="4" priority="6" operator="containsText" text="k">
      <formula>NOT(ISERROR(SEARCH("k",A5)))</formula>
    </cfRule>
  </conditionalFormatting>
  <conditionalFormatting sqref="C5:C116">
    <cfRule type="containsText" dxfId="3" priority="3" operator="containsText" text="dk">
      <formula>NOT(ISERROR(SEARCH("dk",C5)))</formula>
    </cfRule>
    <cfRule type="containsText" dxfId="2" priority="4" operator="containsText" text="k">
      <formula>NOT(ISERROR(SEARCH("k",C5)))</formula>
    </cfRule>
  </conditionalFormatting>
  <conditionalFormatting sqref="E5:E116">
    <cfRule type="containsText" dxfId="1" priority="1" operator="containsText" text="dk">
      <formula>NOT(ISERROR(SEARCH("dk",E5)))</formula>
    </cfRule>
    <cfRule type="containsText" dxfId="0" priority="2" operator="containsText" text="k">
      <formula>NOT(ISERROR(SEARCH("k",E5)))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moveMRGCs">
                <anchor moveWithCells="1" sizeWithCells="1">
                  <from>
                    <xdr:col>12</xdr:col>
                    <xdr:colOff>190500</xdr:colOff>
                    <xdr:row>0</xdr:row>
                    <xdr:rowOff>9525</xdr:rowOff>
                  </from>
                  <to>
                    <xdr:col>15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W2021"/>
  <sheetViews>
    <sheetView zoomScaleNormal="100"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17" t="s">
        <v>82</v>
      </c>
    </row>
    <row r="2" spans="1:75" x14ac:dyDescent="0.25">
      <c r="A2" s="1">
        <v>200</v>
      </c>
    </row>
    <row r="3" spans="1:75" ht="18.75" x14ac:dyDescent="0.25">
      <c r="L3" s="16" t="s">
        <v>75</v>
      </c>
    </row>
    <row r="5" spans="1:75" x14ac:dyDescent="0.25">
      <c r="A5" s="2" t="s">
        <v>81</v>
      </c>
      <c r="B5" s="2" t="s">
        <v>76</v>
      </c>
      <c r="C5" s="2" t="s">
        <v>7</v>
      </c>
      <c r="F5" s="2" t="s">
        <v>10</v>
      </c>
      <c r="G5" s="2" t="s">
        <v>9</v>
      </c>
      <c r="H5" s="1" t="s">
        <v>8</v>
      </c>
      <c r="I5" s="1" t="s">
        <v>7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2" t="s">
        <v>18</v>
      </c>
      <c r="T5" s="2" t="s">
        <v>19</v>
      </c>
      <c r="U5" s="2" t="s">
        <v>20</v>
      </c>
      <c r="V5" s="2" t="s">
        <v>21</v>
      </c>
      <c r="W5" s="2" t="s">
        <v>22</v>
      </c>
      <c r="X5" s="2" t="s">
        <v>23</v>
      </c>
      <c r="Y5" s="2" t="s">
        <v>24</v>
      </c>
      <c r="Z5" s="2" t="s">
        <v>25</v>
      </c>
      <c r="AA5" s="2" t="s">
        <v>26</v>
      </c>
      <c r="AB5" s="2" t="s">
        <v>27</v>
      </c>
      <c r="AC5" s="2" t="s">
        <v>28</v>
      </c>
      <c r="AD5" s="2" t="s">
        <v>29</v>
      </c>
      <c r="AE5" s="2" t="s">
        <v>30</v>
      </c>
      <c r="AF5" s="2" t="s">
        <v>31</v>
      </c>
      <c r="AG5" s="2" t="s">
        <v>32</v>
      </c>
      <c r="AH5" s="2" t="s">
        <v>33</v>
      </c>
      <c r="AI5" s="2" t="s">
        <v>34</v>
      </c>
      <c r="AJ5" s="2" t="s">
        <v>35</v>
      </c>
      <c r="AK5" s="2" t="s">
        <v>36</v>
      </c>
      <c r="AL5" s="2" t="s">
        <v>37</v>
      </c>
      <c r="AM5" s="2" t="s">
        <v>38</v>
      </c>
      <c r="AN5" s="2" t="s">
        <v>39</v>
      </c>
      <c r="AO5" s="2" t="s">
        <v>40</v>
      </c>
      <c r="AP5" s="2" t="s">
        <v>41</v>
      </c>
      <c r="AQ5" s="2" t="s">
        <v>42</v>
      </c>
      <c r="AR5" s="2" t="s">
        <v>43</v>
      </c>
      <c r="AS5" s="2" t="s">
        <v>44</v>
      </c>
      <c r="AT5" s="2" t="s">
        <v>45</v>
      </c>
      <c r="AU5" s="2" t="s">
        <v>46</v>
      </c>
      <c r="AV5" s="2" t="s">
        <v>47</v>
      </c>
      <c r="AW5" s="2" t="s">
        <v>48</v>
      </c>
      <c r="AX5" s="2" t="s">
        <v>49</v>
      </c>
      <c r="AY5" s="2" t="s">
        <v>50</v>
      </c>
      <c r="AZ5" s="2" t="s">
        <v>51</v>
      </c>
      <c r="BA5" s="2" t="s">
        <v>52</v>
      </c>
      <c r="BB5" s="2" t="s">
        <v>53</v>
      </c>
      <c r="BC5" s="2" t="s">
        <v>54</v>
      </c>
      <c r="BD5" s="2" t="s">
        <v>55</v>
      </c>
      <c r="BE5" s="2" t="s">
        <v>56</v>
      </c>
      <c r="BF5" s="2" t="s">
        <v>57</v>
      </c>
      <c r="BG5" s="2" t="s">
        <v>58</v>
      </c>
      <c r="BH5" s="2" t="s">
        <v>59</v>
      </c>
      <c r="BI5" s="2" t="s">
        <v>60</v>
      </c>
      <c r="BJ5" s="2" t="s">
        <v>61</v>
      </c>
      <c r="BK5" s="2" t="s">
        <v>62</v>
      </c>
      <c r="BL5" s="2" t="s">
        <v>63</v>
      </c>
      <c r="BM5" s="2" t="s">
        <v>64</v>
      </c>
      <c r="BN5" s="2" t="s">
        <v>65</v>
      </c>
      <c r="BO5" s="2" t="s">
        <v>66</v>
      </c>
      <c r="BP5" s="2" t="s">
        <v>67</v>
      </c>
      <c r="BQ5" s="2" t="s">
        <v>68</v>
      </c>
      <c r="BR5" s="2" t="s">
        <v>69</v>
      </c>
      <c r="BS5" s="2" t="s">
        <v>70</v>
      </c>
      <c r="BT5" s="2" t="s">
        <v>71</v>
      </c>
      <c r="BU5" s="2" t="s">
        <v>72</v>
      </c>
      <c r="BV5" s="2" t="s">
        <v>73</v>
      </c>
      <c r="BW5" s="2" t="s">
        <v>74</v>
      </c>
    </row>
    <row r="6" spans="1:75" x14ac:dyDescent="0.25">
      <c r="A6" s="15">
        <v>1</v>
      </c>
      <c r="B6" s="15">
        <f t="shared" ref="B6:B38" si="0">$A6*$A$2</f>
        <v>200</v>
      </c>
      <c r="C6" s="15" t="e">
        <f>AVERAGEIF(SttcTable[Inter-Electrode Distance],$B6,SttcTable[STTC])</f>
        <v>#DIV/0!</v>
      </c>
      <c r="F6" s="4"/>
      <c r="G6" s="4"/>
      <c r="H6" s="15"/>
      <c r="I6" s="15"/>
      <c r="K6" s="2" t="s">
        <v>11</v>
      </c>
    </row>
    <row r="7" spans="1:75" x14ac:dyDescent="0.25">
      <c r="A7" s="15">
        <v>2</v>
      </c>
      <c r="B7" s="15">
        <f t="shared" si="0"/>
        <v>400</v>
      </c>
      <c r="C7" s="15" t="e">
        <f>AVERAGEIF(SttcTable[Inter-Electrode Distance],$B7,SttcTable[STTC])</f>
        <v>#DIV/0!</v>
      </c>
      <c r="K7" s="2" t="s">
        <v>12</v>
      </c>
    </row>
    <row r="8" spans="1:75" x14ac:dyDescent="0.25">
      <c r="A8" s="15">
        <v>3</v>
      </c>
      <c r="B8" s="15">
        <f t="shared" si="0"/>
        <v>600</v>
      </c>
      <c r="C8" s="15" t="e">
        <f>AVERAGEIF(SttcTable[Inter-Electrode Distance],$B8,SttcTable[STTC])</f>
        <v>#DIV/0!</v>
      </c>
      <c r="K8" s="2" t="s">
        <v>13</v>
      </c>
    </row>
    <row r="9" spans="1:75" x14ac:dyDescent="0.25">
      <c r="A9" s="15">
        <v>4</v>
      </c>
      <c r="B9" s="15">
        <f t="shared" si="0"/>
        <v>800</v>
      </c>
      <c r="C9" s="15" t="e">
        <f>AVERAGEIF(SttcTable[Inter-Electrode Distance],$B9,SttcTable[STTC])</f>
        <v>#DIV/0!</v>
      </c>
      <c r="K9" s="2" t="s">
        <v>14</v>
      </c>
    </row>
    <row r="10" spans="1:75" x14ac:dyDescent="0.25">
      <c r="A10" s="15">
        <v>5</v>
      </c>
      <c r="B10" s="15">
        <f t="shared" si="0"/>
        <v>1000</v>
      </c>
      <c r="C10" s="15" t="e">
        <f>AVERAGEIF(SttcTable[Inter-Electrode Distance],$B10,SttcTable[STTC])</f>
        <v>#DIV/0!</v>
      </c>
      <c r="K10" s="2" t="s">
        <v>15</v>
      </c>
    </row>
    <row r="11" spans="1:75" x14ac:dyDescent="0.25">
      <c r="A11" s="15">
        <v>6</v>
      </c>
      <c r="B11" s="15">
        <f t="shared" si="0"/>
        <v>1200</v>
      </c>
      <c r="C11" s="15" t="e">
        <f>AVERAGEIF(SttcTable[Inter-Electrode Distance],$B11,SttcTable[STTC])</f>
        <v>#DIV/0!</v>
      </c>
      <c r="K11" s="2" t="s">
        <v>16</v>
      </c>
    </row>
    <row r="12" spans="1:75" x14ac:dyDescent="0.25">
      <c r="A12" s="15">
        <v>7</v>
      </c>
      <c r="B12" s="15">
        <f t="shared" si="0"/>
        <v>1400</v>
      </c>
      <c r="C12" s="15" t="e">
        <f>AVERAGEIF(SttcTable[Inter-Electrode Distance],$B12,SttcTable[STTC])</f>
        <v>#DIV/0!</v>
      </c>
      <c r="K12" s="2" t="s">
        <v>17</v>
      </c>
    </row>
    <row r="13" spans="1:75" x14ac:dyDescent="0.25">
      <c r="A13" s="15">
        <v>1.4142135623730951</v>
      </c>
      <c r="B13" s="15">
        <f t="shared" si="0"/>
        <v>282.84271247461902</v>
      </c>
      <c r="C13" s="15" t="e">
        <f>AVERAGEIF(SttcTable[Inter-Electrode Distance],$B13,SttcTable[STTC])</f>
        <v>#DIV/0!</v>
      </c>
      <c r="K13" s="2" t="s">
        <v>18</v>
      </c>
    </row>
    <row r="14" spans="1:75" x14ac:dyDescent="0.25">
      <c r="A14" s="15">
        <v>2.2360679774997898</v>
      </c>
      <c r="B14" s="15">
        <f t="shared" si="0"/>
        <v>447.21359549995793</v>
      </c>
      <c r="C14" s="15" t="e">
        <f>AVERAGEIF(SttcTable[Inter-Electrode Distance],$B14,SttcTable[STTC])</f>
        <v>#DIV/0!</v>
      </c>
      <c r="K14" s="2" t="s">
        <v>19</v>
      </c>
    </row>
    <row r="15" spans="1:75" x14ac:dyDescent="0.25">
      <c r="A15" s="15">
        <v>3.1622776601683795</v>
      </c>
      <c r="B15" s="15">
        <f t="shared" si="0"/>
        <v>632.45553203367592</v>
      </c>
      <c r="C15" s="15" t="e">
        <f>AVERAGEIF(SttcTable[Inter-Electrode Distance],$B15,SttcTable[STTC])</f>
        <v>#DIV/0!</v>
      </c>
      <c r="K15" s="2" t="s">
        <v>20</v>
      </c>
    </row>
    <row r="16" spans="1:75" x14ac:dyDescent="0.25">
      <c r="A16" s="15">
        <v>4.1231056256176606</v>
      </c>
      <c r="B16" s="15">
        <f t="shared" si="0"/>
        <v>824.62112512353212</v>
      </c>
      <c r="C16" s="15" t="e">
        <f>AVERAGEIF(SttcTable[Inter-Electrode Distance],$B16,SttcTable[STTC])</f>
        <v>#DIV/0!</v>
      </c>
      <c r="K16" s="2" t="s">
        <v>21</v>
      </c>
    </row>
    <row r="17" spans="1:11" x14ac:dyDescent="0.25">
      <c r="A17" s="15">
        <v>5.0990195135927845</v>
      </c>
      <c r="B17" s="15">
        <f t="shared" si="0"/>
        <v>1019.8039027185569</v>
      </c>
      <c r="C17" s="15" t="e">
        <f>AVERAGEIF(SttcTable[Inter-Electrode Distance],$B17,SttcTable[STTC])</f>
        <v>#DIV/0!</v>
      </c>
      <c r="K17" s="2" t="s">
        <v>22</v>
      </c>
    </row>
    <row r="18" spans="1:11" x14ac:dyDescent="0.25">
      <c r="A18" s="15">
        <v>6.0827625302982202</v>
      </c>
      <c r="B18" s="15">
        <f t="shared" si="0"/>
        <v>1216.552506059644</v>
      </c>
      <c r="C18" s="15" t="e">
        <f>AVERAGEIF(SttcTable[Inter-Electrode Distance],$B18,SttcTable[STTC])</f>
        <v>#DIV/0!</v>
      </c>
      <c r="K18" s="2" t="s">
        <v>23</v>
      </c>
    </row>
    <row r="19" spans="1:11" x14ac:dyDescent="0.25">
      <c r="A19" s="15">
        <v>7.0710678118654755</v>
      </c>
      <c r="B19" s="15">
        <f t="shared" si="0"/>
        <v>1414.2135623730951</v>
      </c>
      <c r="C19" s="15" t="e">
        <f>AVERAGEIF(SttcTable[Inter-Electrode Distance],$B19,SttcTable[STTC])</f>
        <v>#DIV/0!</v>
      </c>
      <c r="K19" s="2" t="s">
        <v>24</v>
      </c>
    </row>
    <row r="20" spans="1:11" x14ac:dyDescent="0.25">
      <c r="A20" s="15">
        <v>2.8284271247461903</v>
      </c>
      <c r="B20" s="15">
        <f t="shared" si="0"/>
        <v>565.68542494923804</v>
      </c>
      <c r="C20" s="15" t="e">
        <f>AVERAGEIF(SttcTable[Inter-Electrode Distance],$B20,SttcTable[STTC])</f>
        <v>#DIV/0!</v>
      </c>
      <c r="K20" s="2" t="s">
        <v>25</v>
      </c>
    </row>
    <row r="21" spans="1:11" x14ac:dyDescent="0.25">
      <c r="A21" s="15">
        <v>3.6055512754639891</v>
      </c>
      <c r="B21" s="15">
        <f t="shared" si="0"/>
        <v>721.11025509279784</v>
      </c>
      <c r="C21" s="15" t="e">
        <f>AVERAGEIF(SttcTable[Inter-Electrode Distance],$B21,SttcTable[STTC])</f>
        <v>#DIV/0!</v>
      </c>
      <c r="K21" s="2" t="s">
        <v>26</v>
      </c>
    </row>
    <row r="22" spans="1:11" x14ac:dyDescent="0.25">
      <c r="A22" s="15">
        <v>4.4721359549995796</v>
      </c>
      <c r="B22" s="15">
        <f t="shared" si="0"/>
        <v>894.42719099991587</v>
      </c>
      <c r="C22" s="15" t="e">
        <f>AVERAGEIF(SttcTable[Inter-Electrode Distance],$B22,SttcTable[STTC])</f>
        <v>#DIV/0!</v>
      </c>
      <c r="K22" s="2" t="s">
        <v>27</v>
      </c>
    </row>
    <row r="23" spans="1:11" x14ac:dyDescent="0.25">
      <c r="A23" s="15">
        <v>5.3851648071345037</v>
      </c>
      <c r="B23" s="15">
        <f t="shared" si="0"/>
        <v>1077.0329614269008</v>
      </c>
      <c r="C23" s="15" t="e">
        <f>AVERAGEIF(SttcTable[Inter-Electrode Distance],$B23,SttcTable[STTC])</f>
        <v>#DIV/0!</v>
      </c>
      <c r="K23" s="2" t="s">
        <v>28</v>
      </c>
    </row>
    <row r="24" spans="1:11" x14ac:dyDescent="0.25">
      <c r="A24" s="15">
        <v>6.324555320336759</v>
      </c>
      <c r="B24" s="15">
        <f t="shared" si="0"/>
        <v>1264.9110640673518</v>
      </c>
      <c r="C24" s="15" t="e">
        <f>AVERAGEIF(SttcTable[Inter-Electrode Distance],$B24,SttcTable[STTC])</f>
        <v>#DIV/0!</v>
      </c>
      <c r="K24" s="2" t="s">
        <v>29</v>
      </c>
    </row>
    <row r="25" spans="1:11" x14ac:dyDescent="0.25">
      <c r="A25" s="15">
        <v>7.2801098892805181</v>
      </c>
      <c r="B25" s="15">
        <f t="shared" si="0"/>
        <v>1456.0219778561036</v>
      </c>
      <c r="C25" s="15" t="e">
        <f>AVERAGEIF(SttcTable[Inter-Electrode Distance],$B25,SttcTable[STTC])</f>
        <v>#DIV/0!</v>
      </c>
      <c r="K25" s="2" t="s">
        <v>30</v>
      </c>
    </row>
    <row r="26" spans="1:11" x14ac:dyDescent="0.25">
      <c r="A26" s="15">
        <v>4.2426406871192848</v>
      </c>
      <c r="B26" s="15">
        <f t="shared" si="0"/>
        <v>848.52813742385695</v>
      </c>
      <c r="C26" s="15" t="e">
        <f>AVERAGEIF(SttcTable[Inter-Electrode Distance],$B26,SttcTable[STTC])</f>
        <v>#DIV/0!</v>
      </c>
      <c r="K26" s="2" t="s">
        <v>31</v>
      </c>
    </row>
    <row r="27" spans="1:11" x14ac:dyDescent="0.25">
      <c r="A27" s="15">
        <v>5.8309518948453016</v>
      </c>
      <c r="B27" s="15">
        <f t="shared" si="0"/>
        <v>1166.1903789690602</v>
      </c>
      <c r="C27" s="15" t="e">
        <f>AVERAGEIF(SttcTable[Inter-Electrode Distance],$B27,SttcTable[STTC])</f>
        <v>#DIV/0!</v>
      </c>
      <c r="K27" s="2" t="s">
        <v>32</v>
      </c>
    </row>
    <row r="28" spans="1:11" x14ac:dyDescent="0.25">
      <c r="A28" s="15">
        <v>6.7082039324993694</v>
      </c>
      <c r="B28" s="15">
        <f t="shared" si="0"/>
        <v>1341.6407864998739</v>
      </c>
      <c r="C28" s="15" t="e">
        <f>AVERAGEIF(SttcTable[Inter-Electrode Distance],$B28,SttcTable[STTC])</f>
        <v>#DIV/0!</v>
      </c>
      <c r="K28" s="2" t="s">
        <v>33</v>
      </c>
    </row>
    <row r="29" spans="1:11" x14ac:dyDescent="0.25">
      <c r="A29" s="15">
        <v>7.6157731058639095</v>
      </c>
      <c r="B29" s="15">
        <f t="shared" si="0"/>
        <v>1523.1546211727818</v>
      </c>
      <c r="C29" s="15" t="e">
        <f>AVERAGEIF(SttcTable[Inter-Electrode Distance],$B29,SttcTable[STTC])</f>
        <v>#DIV/0!</v>
      </c>
      <c r="K29" s="2" t="s">
        <v>34</v>
      </c>
    </row>
    <row r="30" spans="1:11" x14ac:dyDescent="0.25">
      <c r="A30" s="15">
        <v>5.6568542494923806</v>
      </c>
      <c r="B30" s="15">
        <f t="shared" si="0"/>
        <v>1131.3708498984761</v>
      </c>
      <c r="C30" s="15" t="e">
        <f>AVERAGEIF(SttcTable[Inter-Electrode Distance],$B30,SttcTable[STTC])</f>
        <v>#DIV/0!</v>
      </c>
      <c r="K30" s="2" t="s">
        <v>35</v>
      </c>
    </row>
    <row r="31" spans="1:11" x14ac:dyDescent="0.25">
      <c r="A31" s="15">
        <v>6.4031242374328485</v>
      </c>
      <c r="B31" s="15">
        <f t="shared" si="0"/>
        <v>1280.6248474865697</v>
      </c>
      <c r="C31" s="15" t="e">
        <f>AVERAGEIF(SttcTable[Inter-Electrode Distance],$B31,SttcTable[STTC])</f>
        <v>#DIV/0!</v>
      </c>
      <c r="K31" s="2" t="s">
        <v>36</v>
      </c>
    </row>
    <row r="32" spans="1:11" x14ac:dyDescent="0.25">
      <c r="A32" s="15">
        <v>7.2111025509279782</v>
      </c>
      <c r="B32" s="15">
        <f t="shared" si="0"/>
        <v>1442.2205101855957</v>
      </c>
      <c r="C32" s="15" t="e">
        <f>AVERAGEIF(SttcTable[Inter-Electrode Distance],$B32,SttcTable[STTC])</f>
        <v>#DIV/0!</v>
      </c>
      <c r="K32" s="2" t="s">
        <v>37</v>
      </c>
    </row>
    <row r="33" spans="1:11" x14ac:dyDescent="0.25">
      <c r="A33" s="15">
        <v>8.0622577482985491</v>
      </c>
      <c r="B33" s="15">
        <f t="shared" si="0"/>
        <v>1612.4515496597098</v>
      </c>
      <c r="C33" s="15" t="e">
        <f>AVERAGEIF(SttcTable[Inter-Electrode Distance],$B33,SttcTable[STTC])</f>
        <v>#DIV/0!</v>
      </c>
      <c r="K33" s="2" t="s">
        <v>38</v>
      </c>
    </row>
    <row r="34" spans="1:11" x14ac:dyDescent="0.25">
      <c r="A34" s="15">
        <v>7.810249675906654</v>
      </c>
      <c r="B34" s="15">
        <f t="shared" si="0"/>
        <v>1562.0499351813307</v>
      </c>
      <c r="C34" s="15" t="e">
        <f>AVERAGEIF(SttcTable[Inter-Electrode Distance],$B34,SttcTable[STTC])</f>
        <v>#DIV/0!</v>
      </c>
      <c r="K34" s="2" t="s">
        <v>39</v>
      </c>
    </row>
    <row r="35" spans="1:11" x14ac:dyDescent="0.25">
      <c r="A35" s="15">
        <v>8.6023252670426267</v>
      </c>
      <c r="B35" s="15">
        <f t="shared" si="0"/>
        <v>1720.4650534085254</v>
      </c>
      <c r="C35" s="15" t="e">
        <f>AVERAGEIF(SttcTable[Inter-Electrode Distance],$B35,SttcTable[STTC])</f>
        <v>#DIV/0!</v>
      </c>
      <c r="K35" s="2" t="s">
        <v>40</v>
      </c>
    </row>
    <row r="36" spans="1:11" x14ac:dyDescent="0.25">
      <c r="A36" s="15">
        <v>8.4852813742385695</v>
      </c>
      <c r="B36" s="15">
        <f t="shared" si="0"/>
        <v>1697.0562748477139</v>
      </c>
      <c r="C36" s="15" t="e">
        <f>AVERAGEIF(SttcTable[Inter-Electrode Distance],$B36,SttcTable[STTC])</f>
        <v>#DIV/0!</v>
      </c>
      <c r="K36" s="2" t="s">
        <v>41</v>
      </c>
    </row>
    <row r="37" spans="1:11" x14ac:dyDescent="0.25">
      <c r="A37" s="15">
        <v>9.2195444572928871</v>
      </c>
      <c r="B37" s="15">
        <f t="shared" si="0"/>
        <v>1843.9088914585775</v>
      </c>
      <c r="C37" s="15" t="e">
        <f>AVERAGEIF(SttcTable[Inter-Electrode Distance],$B37,SttcTable[STTC])</f>
        <v>#DIV/0!</v>
      </c>
      <c r="K37" s="2" t="s">
        <v>42</v>
      </c>
    </row>
    <row r="38" spans="1:11" x14ac:dyDescent="0.25">
      <c r="A38" s="15">
        <v>9.8994949366116654</v>
      </c>
      <c r="B38" s="15">
        <f t="shared" si="0"/>
        <v>1979.8989873223331</v>
      </c>
      <c r="C38" s="15" t="e">
        <f>AVERAGEIF(SttcTable[Inter-Electrode Distance],$B38,SttcTable[STTC])</f>
        <v>#DIV/0!</v>
      </c>
      <c r="K38" s="2" t="s">
        <v>43</v>
      </c>
    </row>
    <row r="39" spans="1:11" x14ac:dyDescent="0.25">
      <c r="B39"/>
      <c r="K39" s="2" t="s">
        <v>44</v>
      </c>
    </row>
    <row r="40" spans="1:11" x14ac:dyDescent="0.25">
      <c r="B40"/>
      <c r="K40" s="2" t="s">
        <v>45</v>
      </c>
    </row>
    <row r="41" spans="1:11" x14ac:dyDescent="0.25">
      <c r="B41"/>
      <c r="K41" s="2" t="s">
        <v>46</v>
      </c>
    </row>
    <row r="42" spans="1:11" x14ac:dyDescent="0.25">
      <c r="B42"/>
      <c r="K42" s="2" t="s">
        <v>47</v>
      </c>
    </row>
    <row r="43" spans="1:11" x14ac:dyDescent="0.25">
      <c r="B43"/>
      <c r="K43" s="2" t="s">
        <v>48</v>
      </c>
    </row>
    <row r="44" spans="1:11" x14ac:dyDescent="0.25">
      <c r="B44"/>
      <c r="K44" s="2" t="s">
        <v>49</v>
      </c>
    </row>
    <row r="45" spans="1:11" x14ac:dyDescent="0.25">
      <c r="B45"/>
      <c r="K45" s="2" t="s">
        <v>50</v>
      </c>
    </row>
    <row r="46" spans="1:11" x14ac:dyDescent="0.25">
      <c r="B46"/>
      <c r="K46" s="2" t="s">
        <v>51</v>
      </c>
    </row>
    <row r="47" spans="1:11" x14ac:dyDescent="0.25">
      <c r="B47"/>
      <c r="K47" s="2" t="s">
        <v>52</v>
      </c>
    </row>
    <row r="48" spans="1:11" x14ac:dyDescent="0.25">
      <c r="B48"/>
      <c r="K48" s="2" t="s">
        <v>53</v>
      </c>
    </row>
    <row r="49" spans="2:11" x14ac:dyDescent="0.25">
      <c r="B49"/>
      <c r="K49" s="2" t="s">
        <v>54</v>
      </c>
    </row>
    <row r="50" spans="2:11" x14ac:dyDescent="0.25">
      <c r="B50"/>
      <c r="K50" s="2" t="s">
        <v>55</v>
      </c>
    </row>
    <row r="51" spans="2:11" x14ac:dyDescent="0.25">
      <c r="B51"/>
      <c r="K51" s="2" t="s">
        <v>56</v>
      </c>
    </row>
    <row r="52" spans="2:11" x14ac:dyDescent="0.25">
      <c r="B52"/>
      <c r="K52" s="2" t="s">
        <v>57</v>
      </c>
    </row>
    <row r="53" spans="2:11" x14ac:dyDescent="0.25">
      <c r="B53"/>
      <c r="K53" s="2" t="s">
        <v>58</v>
      </c>
    </row>
    <row r="54" spans="2:11" x14ac:dyDescent="0.25">
      <c r="B54"/>
      <c r="K54" s="2" t="s">
        <v>59</v>
      </c>
    </row>
    <row r="55" spans="2:11" x14ac:dyDescent="0.25">
      <c r="B55"/>
      <c r="K55" s="2" t="s">
        <v>60</v>
      </c>
    </row>
    <row r="56" spans="2:11" x14ac:dyDescent="0.25">
      <c r="B56"/>
      <c r="K56" s="2" t="s">
        <v>61</v>
      </c>
    </row>
    <row r="57" spans="2:11" x14ac:dyDescent="0.25">
      <c r="B57"/>
      <c r="K57" s="2" t="s">
        <v>62</v>
      </c>
    </row>
    <row r="58" spans="2:11" x14ac:dyDescent="0.25">
      <c r="B58"/>
      <c r="K58" s="2" t="s">
        <v>63</v>
      </c>
    </row>
    <row r="59" spans="2:11" x14ac:dyDescent="0.25">
      <c r="B59"/>
      <c r="K59" s="2" t="s">
        <v>64</v>
      </c>
    </row>
    <row r="60" spans="2:11" x14ac:dyDescent="0.25">
      <c r="B60"/>
      <c r="K60" s="2" t="s">
        <v>65</v>
      </c>
    </row>
    <row r="61" spans="2:11" x14ac:dyDescent="0.25">
      <c r="B61"/>
      <c r="K61" s="2" t="s">
        <v>66</v>
      </c>
    </row>
    <row r="62" spans="2:11" x14ac:dyDescent="0.25">
      <c r="B62"/>
      <c r="K62" s="2" t="s">
        <v>67</v>
      </c>
    </row>
    <row r="63" spans="2:11" x14ac:dyDescent="0.25">
      <c r="B63"/>
      <c r="K63" s="2" t="s">
        <v>68</v>
      </c>
    </row>
    <row r="64" spans="2:11" x14ac:dyDescent="0.25">
      <c r="B64"/>
      <c r="K64" s="2" t="s">
        <v>69</v>
      </c>
    </row>
    <row r="65" spans="2:11" x14ac:dyDescent="0.25">
      <c r="B65"/>
      <c r="K65" s="2" t="s">
        <v>70</v>
      </c>
    </row>
    <row r="66" spans="2:11" x14ac:dyDescent="0.25">
      <c r="B66"/>
      <c r="K66" s="2" t="s">
        <v>71</v>
      </c>
    </row>
    <row r="67" spans="2:11" x14ac:dyDescent="0.25">
      <c r="B67"/>
      <c r="K67" s="2" t="s">
        <v>72</v>
      </c>
    </row>
    <row r="68" spans="2:11" x14ac:dyDescent="0.25">
      <c r="B68"/>
      <c r="K68" s="2" t="s">
        <v>73</v>
      </c>
    </row>
    <row r="69" spans="2:11" x14ac:dyDescent="0.25">
      <c r="B69"/>
      <c r="K69" s="2" t="s">
        <v>74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WriteChannelData.WriteChannelData">
                <anchor moveWithCells="1">
                  <from>
                    <xdr:col>4</xdr:col>
                    <xdr:colOff>609600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17" t="s">
        <v>82</v>
      </c>
    </row>
    <row r="2" spans="1:75" x14ac:dyDescent="0.25">
      <c r="A2" s="1">
        <v>200</v>
      </c>
    </row>
    <row r="3" spans="1:75" ht="18.75" x14ac:dyDescent="0.25">
      <c r="L3" s="16" t="s">
        <v>75</v>
      </c>
    </row>
    <row r="5" spans="1:75" x14ac:dyDescent="0.25">
      <c r="A5" s="2" t="s">
        <v>81</v>
      </c>
      <c r="B5" s="2" t="s">
        <v>76</v>
      </c>
      <c r="C5" s="2" t="s">
        <v>77</v>
      </c>
      <c r="F5" s="2" t="s">
        <v>10</v>
      </c>
      <c r="G5" s="2" t="s">
        <v>9</v>
      </c>
      <c r="H5" s="1" t="s">
        <v>8</v>
      </c>
      <c r="I5" s="1" t="s">
        <v>7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2" t="s">
        <v>18</v>
      </c>
      <c r="T5" s="2" t="s">
        <v>19</v>
      </c>
      <c r="U5" s="2" t="s">
        <v>20</v>
      </c>
      <c r="V5" s="2" t="s">
        <v>21</v>
      </c>
      <c r="W5" s="2" t="s">
        <v>22</v>
      </c>
      <c r="X5" s="2" t="s">
        <v>23</v>
      </c>
      <c r="Y5" s="2" t="s">
        <v>24</v>
      </c>
      <c r="Z5" s="2" t="s">
        <v>25</v>
      </c>
      <c r="AA5" s="2" t="s">
        <v>26</v>
      </c>
      <c r="AB5" s="2" t="s">
        <v>27</v>
      </c>
      <c r="AC5" s="2" t="s">
        <v>28</v>
      </c>
      <c r="AD5" s="2" t="s">
        <v>29</v>
      </c>
      <c r="AE5" s="2" t="s">
        <v>30</v>
      </c>
      <c r="AF5" s="2" t="s">
        <v>31</v>
      </c>
      <c r="AG5" s="2" t="s">
        <v>32</v>
      </c>
      <c r="AH5" s="2" t="s">
        <v>33</v>
      </c>
      <c r="AI5" s="2" t="s">
        <v>34</v>
      </c>
      <c r="AJ5" s="2" t="s">
        <v>35</v>
      </c>
      <c r="AK5" s="2" t="s">
        <v>36</v>
      </c>
      <c r="AL5" s="2" t="s">
        <v>37</v>
      </c>
      <c r="AM5" s="2" t="s">
        <v>38</v>
      </c>
      <c r="AN5" s="2" t="s">
        <v>39</v>
      </c>
      <c r="AO5" s="2" t="s">
        <v>40</v>
      </c>
      <c r="AP5" s="2" t="s">
        <v>41</v>
      </c>
      <c r="AQ5" s="2" t="s">
        <v>42</v>
      </c>
      <c r="AR5" s="2" t="s">
        <v>43</v>
      </c>
      <c r="AS5" s="2" t="s">
        <v>44</v>
      </c>
      <c r="AT5" s="2" t="s">
        <v>45</v>
      </c>
      <c r="AU5" s="2" t="s">
        <v>46</v>
      </c>
      <c r="AV5" s="2" t="s">
        <v>47</v>
      </c>
      <c r="AW5" s="2" t="s">
        <v>48</v>
      </c>
      <c r="AX5" s="2" t="s">
        <v>49</v>
      </c>
      <c r="AY5" s="2" t="s">
        <v>50</v>
      </c>
      <c r="AZ5" s="2" t="s">
        <v>51</v>
      </c>
      <c r="BA5" s="2" t="s">
        <v>52</v>
      </c>
      <c r="BB5" s="2" t="s">
        <v>53</v>
      </c>
      <c r="BC5" s="2" t="s">
        <v>54</v>
      </c>
      <c r="BD5" s="2" t="s">
        <v>55</v>
      </c>
      <c r="BE5" s="2" t="s">
        <v>56</v>
      </c>
      <c r="BF5" s="2" t="s">
        <v>57</v>
      </c>
      <c r="BG5" s="2" t="s">
        <v>58</v>
      </c>
      <c r="BH5" s="2" t="s">
        <v>59</v>
      </c>
      <c r="BI5" s="2" t="s">
        <v>60</v>
      </c>
      <c r="BJ5" s="2" t="s">
        <v>61</v>
      </c>
      <c r="BK5" s="2" t="s">
        <v>62</v>
      </c>
      <c r="BL5" s="2" t="s">
        <v>63</v>
      </c>
      <c r="BM5" s="2" t="s">
        <v>64</v>
      </c>
      <c r="BN5" s="2" t="s">
        <v>65</v>
      </c>
      <c r="BO5" s="2" t="s">
        <v>66</v>
      </c>
      <c r="BP5" s="2" t="s">
        <v>67</v>
      </c>
      <c r="BQ5" s="2" t="s">
        <v>68</v>
      </c>
      <c r="BR5" s="2" t="s">
        <v>69</v>
      </c>
      <c r="BS5" s="2" t="s">
        <v>70</v>
      </c>
      <c r="BT5" s="2" t="s">
        <v>71</v>
      </c>
      <c r="BU5" s="2" t="s">
        <v>72</v>
      </c>
      <c r="BV5" s="2" t="s">
        <v>73</v>
      </c>
      <c r="BW5" s="2" t="s">
        <v>74</v>
      </c>
    </row>
    <row r="6" spans="1:75" x14ac:dyDescent="0.25">
      <c r="A6" s="15">
        <v>1</v>
      </c>
      <c r="B6" s="15">
        <f t="shared" ref="B6:B38" si="0">$A6*$A$2</f>
        <v>200</v>
      </c>
      <c r="C6" s="15" t="e">
        <f>AVERAGEIF(SttcTable3[Inter-Electrode Distance],$B6,SttcTable3[STTC])</f>
        <v>#DIV/0!</v>
      </c>
      <c r="F6" s="4"/>
      <c r="G6" s="4"/>
      <c r="H6" s="15"/>
      <c r="I6" s="15"/>
      <c r="K6" s="2" t="s">
        <v>11</v>
      </c>
    </row>
    <row r="7" spans="1:75" x14ac:dyDescent="0.25">
      <c r="A7" s="15">
        <v>2</v>
      </c>
      <c r="B7" s="15">
        <f t="shared" si="0"/>
        <v>400</v>
      </c>
      <c r="C7" s="15" t="e">
        <f>AVERAGEIF(SttcTable3[Inter-Electrode Distance],$B7,SttcTable3[STTC])</f>
        <v>#DIV/0!</v>
      </c>
      <c r="K7" s="2" t="s">
        <v>12</v>
      </c>
    </row>
    <row r="8" spans="1:75" x14ac:dyDescent="0.25">
      <c r="A8" s="15">
        <v>3</v>
      </c>
      <c r="B8" s="15">
        <f t="shared" si="0"/>
        <v>600</v>
      </c>
      <c r="C8" s="15" t="e">
        <f>AVERAGEIF(SttcTable3[Inter-Electrode Distance],$B8,SttcTable3[STTC])</f>
        <v>#DIV/0!</v>
      </c>
      <c r="K8" s="2" t="s">
        <v>13</v>
      </c>
    </row>
    <row r="9" spans="1:75" x14ac:dyDescent="0.25">
      <c r="A9" s="15">
        <v>4</v>
      </c>
      <c r="B9" s="15">
        <f t="shared" si="0"/>
        <v>800</v>
      </c>
      <c r="C9" s="15" t="e">
        <f>AVERAGEIF(SttcTable3[Inter-Electrode Distance],$B9,SttcTable3[STTC])</f>
        <v>#DIV/0!</v>
      </c>
      <c r="K9" s="2" t="s">
        <v>14</v>
      </c>
    </row>
    <row r="10" spans="1:75" x14ac:dyDescent="0.25">
      <c r="A10" s="15">
        <v>5</v>
      </c>
      <c r="B10" s="15">
        <f t="shared" si="0"/>
        <v>1000</v>
      </c>
      <c r="C10" s="15" t="e">
        <f>AVERAGEIF(SttcTable3[Inter-Electrode Distance],$B10,SttcTable3[STTC])</f>
        <v>#DIV/0!</v>
      </c>
      <c r="K10" s="2" t="s">
        <v>15</v>
      </c>
    </row>
    <row r="11" spans="1:75" x14ac:dyDescent="0.25">
      <c r="A11" s="15">
        <v>6</v>
      </c>
      <c r="B11" s="15">
        <f t="shared" si="0"/>
        <v>1200</v>
      </c>
      <c r="C11" s="15" t="e">
        <f>AVERAGEIF(SttcTable3[Inter-Electrode Distance],$B11,SttcTable3[STTC])</f>
        <v>#DIV/0!</v>
      </c>
      <c r="K11" s="2" t="s">
        <v>16</v>
      </c>
    </row>
    <row r="12" spans="1:75" x14ac:dyDescent="0.25">
      <c r="A12" s="15">
        <v>7</v>
      </c>
      <c r="B12" s="15">
        <f t="shared" si="0"/>
        <v>1400</v>
      </c>
      <c r="C12" s="15" t="e">
        <f>AVERAGEIF(SttcTable3[Inter-Electrode Distance],$B12,SttcTable3[STTC])</f>
        <v>#DIV/0!</v>
      </c>
      <c r="K12" s="2" t="s">
        <v>17</v>
      </c>
    </row>
    <row r="13" spans="1:75" x14ac:dyDescent="0.25">
      <c r="A13" s="15">
        <v>1.4142135623730951</v>
      </c>
      <c r="B13" s="15">
        <f t="shared" si="0"/>
        <v>282.84271247461902</v>
      </c>
      <c r="C13" s="15" t="e">
        <f>AVERAGEIF(SttcTable3[Inter-Electrode Distance],$B13,SttcTable3[STTC])</f>
        <v>#DIV/0!</v>
      </c>
      <c r="K13" s="2" t="s">
        <v>18</v>
      </c>
    </row>
    <row r="14" spans="1:75" x14ac:dyDescent="0.25">
      <c r="A14" s="15">
        <v>2.2360679774997898</v>
      </c>
      <c r="B14" s="15">
        <f t="shared" si="0"/>
        <v>447.21359549995793</v>
      </c>
      <c r="C14" s="15" t="e">
        <f>AVERAGEIF(SttcTable3[Inter-Electrode Distance],$B14,SttcTable3[STTC])</f>
        <v>#DIV/0!</v>
      </c>
      <c r="K14" s="2" t="s">
        <v>19</v>
      </c>
    </row>
    <row r="15" spans="1:75" x14ac:dyDescent="0.25">
      <c r="A15" s="15">
        <v>3.1622776601683795</v>
      </c>
      <c r="B15" s="15">
        <f t="shared" si="0"/>
        <v>632.45553203367592</v>
      </c>
      <c r="C15" s="15" t="e">
        <f>AVERAGEIF(SttcTable3[Inter-Electrode Distance],$B15,SttcTable3[STTC])</f>
        <v>#DIV/0!</v>
      </c>
      <c r="K15" s="2" t="s">
        <v>20</v>
      </c>
    </row>
    <row r="16" spans="1:75" x14ac:dyDescent="0.25">
      <c r="A16" s="15">
        <v>4.1231056256176606</v>
      </c>
      <c r="B16" s="15">
        <f t="shared" si="0"/>
        <v>824.62112512353212</v>
      </c>
      <c r="C16" s="15" t="e">
        <f>AVERAGEIF(SttcTable3[Inter-Electrode Distance],$B16,SttcTable3[STTC])</f>
        <v>#DIV/0!</v>
      </c>
      <c r="K16" s="2" t="s">
        <v>21</v>
      </c>
    </row>
    <row r="17" spans="1:11" x14ac:dyDescent="0.25">
      <c r="A17" s="15">
        <v>5.0990195135927845</v>
      </c>
      <c r="B17" s="15">
        <f t="shared" si="0"/>
        <v>1019.8039027185569</v>
      </c>
      <c r="C17" s="15" t="e">
        <f>AVERAGEIF(SttcTable3[Inter-Electrode Distance],$B17,SttcTable3[STTC])</f>
        <v>#DIV/0!</v>
      </c>
      <c r="K17" s="2" t="s">
        <v>22</v>
      </c>
    </row>
    <row r="18" spans="1:11" x14ac:dyDescent="0.25">
      <c r="A18" s="15">
        <v>6.0827625302982202</v>
      </c>
      <c r="B18" s="15">
        <f t="shared" si="0"/>
        <v>1216.552506059644</v>
      </c>
      <c r="C18" s="15" t="e">
        <f>AVERAGEIF(SttcTable3[Inter-Electrode Distance],$B18,SttcTable3[STTC])</f>
        <v>#DIV/0!</v>
      </c>
      <c r="K18" s="2" t="s">
        <v>23</v>
      </c>
    </row>
    <row r="19" spans="1:11" x14ac:dyDescent="0.25">
      <c r="A19" s="15">
        <v>7.0710678118654755</v>
      </c>
      <c r="B19" s="15">
        <f t="shared" si="0"/>
        <v>1414.2135623730951</v>
      </c>
      <c r="C19" s="15" t="e">
        <f>AVERAGEIF(SttcTable3[Inter-Electrode Distance],$B19,SttcTable3[STTC])</f>
        <v>#DIV/0!</v>
      </c>
      <c r="K19" s="2" t="s">
        <v>24</v>
      </c>
    </row>
    <row r="20" spans="1:11" x14ac:dyDescent="0.25">
      <c r="A20" s="15">
        <v>2.8284271247461903</v>
      </c>
      <c r="B20" s="15">
        <f t="shared" si="0"/>
        <v>565.68542494923804</v>
      </c>
      <c r="C20" s="15" t="e">
        <f>AVERAGEIF(SttcTable3[Inter-Electrode Distance],$B20,SttcTable3[STTC])</f>
        <v>#DIV/0!</v>
      </c>
      <c r="K20" s="2" t="s">
        <v>25</v>
      </c>
    </row>
    <row r="21" spans="1:11" x14ac:dyDescent="0.25">
      <c r="A21" s="15">
        <v>3.6055512754639891</v>
      </c>
      <c r="B21" s="15">
        <f t="shared" si="0"/>
        <v>721.11025509279784</v>
      </c>
      <c r="C21" s="15" t="e">
        <f>AVERAGEIF(SttcTable3[Inter-Electrode Distance],$B21,SttcTable3[STTC])</f>
        <v>#DIV/0!</v>
      </c>
      <c r="K21" s="2" t="s">
        <v>26</v>
      </c>
    </row>
    <row r="22" spans="1:11" x14ac:dyDescent="0.25">
      <c r="A22" s="15">
        <v>4.4721359549995796</v>
      </c>
      <c r="B22" s="15">
        <f t="shared" si="0"/>
        <v>894.42719099991587</v>
      </c>
      <c r="C22" s="15" t="e">
        <f>AVERAGEIF(SttcTable3[Inter-Electrode Distance],$B22,SttcTable3[STTC])</f>
        <v>#DIV/0!</v>
      </c>
      <c r="K22" s="2" t="s">
        <v>27</v>
      </c>
    </row>
    <row r="23" spans="1:11" x14ac:dyDescent="0.25">
      <c r="A23" s="15">
        <v>5.3851648071345037</v>
      </c>
      <c r="B23" s="15">
        <f t="shared" si="0"/>
        <v>1077.0329614269008</v>
      </c>
      <c r="C23" s="15" t="e">
        <f>AVERAGEIF(SttcTable3[Inter-Electrode Distance],$B23,SttcTable3[STTC])</f>
        <v>#DIV/0!</v>
      </c>
      <c r="K23" s="2" t="s">
        <v>28</v>
      </c>
    </row>
    <row r="24" spans="1:11" x14ac:dyDescent="0.25">
      <c r="A24" s="15">
        <v>6.324555320336759</v>
      </c>
      <c r="B24" s="15">
        <f t="shared" si="0"/>
        <v>1264.9110640673518</v>
      </c>
      <c r="C24" s="15" t="e">
        <f>AVERAGEIF(SttcTable3[Inter-Electrode Distance],$B24,SttcTable3[STTC])</f>
        <v>#DIV/0!</v>
      </c>
      <c r="K24" s="2" t="s">
        <v>29</v>
      </c>
    </row>
    <row r="25" spans="1:11" x14ac:dyDescent="0.25">
      <c r="A25" s="15">
        <v>7.2801098892805181</v>
      </c>
      <c r="B25" s="15">
        <f t="shared" si="0"/>
        <v>1456.0219778561036</v>
      </c>
      <c r="C25" s="15" t="e">
        <f>AVERAGEIF(SttcTable3[Inter-Electrode Distance],$B25,SttcTable3[STTC])</f>
        <v>#DIV/0!</v>
      </c>
      <c r="K25" s="2" t="s">
        <v>30</v>
      </c>
    </row>
    <row r="26" spans="1:11" x14ac:dyDescent="0.25">
      <c r="A26" s="15">
        <v>4.2426406871192848</v>
      </c>
      <c r="B26" s="15">
        <f t="shared" si="0"/>
        <v>848.52813742385695</v>
      </c>
      <c r="C26" s="15" t="e">
        <f>AVERAGEIF(SttcTable3[Inter-Electrode Distance],$B26,SttcTable3[STTC])</f>
        <v>#DIV/0!</v>
      </c>
      <c r="K26" s="2" t="s">
        <v>31</v>
      </c>
    </row>
    <row r="27" spans="1:11" x14ac:dyDescent="0.25">
      <c r="A27" s="15">
        <v>5.8309518948453016</v>
      </c>
      <c r="B27" s="15">
        <f t="shared" si="0"/>
        <v>1166.1903789690602</v>
      </c>
      <c r="C27" s="15" t="e">
        <f>AVERAGEIF(SttcTable3[Inter-Electrode Distance],$B27,SttcTable3[STTC])</f>
        <v>#DIV/0!</v>
      </c>
      <c r="K27" s="2" t="s">
        <v>32</v>
      </c>
    </row>
    <row r="28" spans="1:11" x14ac:dyDescent="0.25">
      <c r="A28" s="15">
        <v>6.7082039324993694</v>
      </c>
      <c r="B28" s="15">
        <f t="shared" si="0"/>
        <v>1341.6407864998739</v>
      </c>
      <c r="C28" s="15" t="e">
        <f>AVERAGEIF(SttcTable3[Inter-Electrode Distance],$B28,SttcTable3[STTC])</f>
        <v>#DIV/0!</v>
      </c>
      <c r="K28" s="2" t="s">
        <v>33</v>
      </c>
    </row>
    <row r="29" spans="1:11" x14ac:dyDescent="0.25">
      <c r="A29" s="15">
        <v>7.6157731058639095</v>
      </c>
      <c r="B29" s="15">
        <f t="shared" si="0"/>
        <v>1523.1546211727818</v>
      </c>
      <c r="C29" s="15" t="e">
        <f>AVERAGEIF(SttcTable3[Inter-Electrode Distance],$B29,SttcTable3[STTC])</f>
        <v>#DIV/0!</v>
      </c>
      <c r="K29" s="2" t="s">
        <v>34</v>
      </c>
    </row>
    <row r="30" spans="1:11" x14ac:dyDescent="0.25">
      <c r="A30" s="15">
        <v>5.6568542494923806</v>
      </c>
      <c r="B30" s="15">
        <f t="shared" si="0"/>
        <v>1131.3708498984761</v>
      </c>
      <c r="C30" s="15" t="e">
        <f>AVERAGEIF(SttcTable3[Inter-Electrode Distance],$B30,SttcTable3[STTC])</f>
        <v>#DIV/0!</v>
      </c>
      <c r="K30" s="2" t="s">
        <v>35</v>
      </c>
    </row>
    <row r="31" spans="1:11" x14ac:dyDescent="0.25">
      <c r="A31" s="15">
        <v>6.4031242374328485</v>
      </c>
      <c r="B31" s="15">
        <f t="shared" si="0"/>
        <v>1280.6248474865697</v>
      </c>
      <c r="C31" s="15" t="e">
        <f>AVERAGEIF(SttcTable3[Inter-Electrode Distance],$B31,SttcTable3[STTC])</f>
        <v>#DIV/0!</v>
      </c>
      <c r="K31" s="2" t="s">
        <v>36</v>
      </c>
    </row>
    <row r="32" spans="1:11" x14ac:dyDescent="0.25">
      <c r="A32" s="15">
        <v>7.2111025509279782</v>
      </c>
      <c r="B32" s="15">
        <f t="shared" si="0"/>
        <v>1442.2205101855957</v>
      </c>
      <c r="C32" s="15" t="e">
        <f>AVERAGEIF(SttcTable3[Inter-Electrode Distance],$B32,SttcTable3[STTC])</f>
        <v>#DIV/0!</v>
      </c>
      <c r="K32" s="2" t="s">
        <v>37</v>
      </c>
    </row>
    <row r="33" spans="1:11" x14ac:dyDescent="0.25">
      <c r="A33" s="15">
        <v>8.0622577482985491</v>
      </c>
      <c r="B33" s="15">
        <f t="shared" si="0"/>
        <v>1612.4515496597098</v>
      </c>
      <c r="C33" s="15" t="e">
        <f>AVERAGEIF(SttcTable3[Inter-Electrode Distance],$B33,SttcTable3[STTC])</f>
        <v>#DIV/0!</v>
      </c>
      <c r="K33" s="2" t="s">
        <v>38</v>
      </c>
    </row>
    <row r="34" spans="1:11" x14ac:dyDescent="0.25">
      <c r="A34" s="15">
        <v>7.810249675906654</v>
      </c>
      <c r="B34" s="15">
        <f t="shared" si="0"/>
        <v>1562.0499351813307</v>
      </c>
      <c r="C34" s="15" t="e">
        <f>AVERAGEIF(SttcTable3[Inter-Electrode Distance],$B34,SttcTable3[STTC])</f>
        <v>#DIV/0!</v>
      </c>
      <c r="K34" s="2" t="s">
        <v>39</v>
      </c>
    </row>
    <row r="35" spans="1:11" x14ac:dyDescent="0.25">
      <c r="A35" s="15">
        <v>8.6023252670426267</v>
      </c>
      <c r="B35" s="15">
        <f t="shared" si="0"/>
        <v>1720.4650534085254</v>
      </c>
      <c r="C35" s="15" t="e">
        <f>AVERAGEIF(SttcTable3[Inter-Electrode Distance],$B35,SttcTable3[STTC])</f>
        <v>#DIV/0!</v>
      </c>
      <c r="K35" s="2" t="s">
        <v>40</v>
      </c>
    </row>
    <row r="36" spans="1:11" x14ac:dyDescent="0.25">
      <c r="A36" s="15">
        <v>8.4852813742385695</v>
      </c>
      <c r="B36" s="15">
        <f t="shared" si="0"/>
        <v>1697.0562748477139</v>
      </c>
      <c r="C36" s="15" t="e">
        <f>AVERAGEIF(SttcTable3[Inter-Electrode Distance],$B36,SttcTable3[STTC])</f>
        <v>#DIV/0!</v>
      </c>
      <c r="K36" s="2" t="s">
        <v>41</v>
      </c>
    </row>
    <row r="37" spans="1:11" x14ac:dyDescent="0.25">
      <c r="A37" s="15">
        <v>9.2195444572928871</v>
      </c>
      <c r="B37" s="15">
        <f t="shared" si="0"/>
        <v>1843.9088914585775</v>
      </c>
      <c r="C37" s="15" t="e">
        <f>AVERAGEIF(SttcTable3[Inter-Electrode Distance],$B37,SttcTable3[STTC])</f>
        <v>#DIV/0!</v>
      </c>
      <c r="K37" s="2" t="s">
        <v>42</v>
      </c>
    </row>
    <row r="38" spans="1:11" x14ac:dyDescent="0.25">
      <c r="A38" s="15">
        <v>9.8994949366116654</v>
      </c>
      <c r="B38" s="15">
        <f t="shared" si="0"/>
        <v>1979.8989873223331</v>
      </c>
      <c r="C38" s="15" t="e">
        <f>AVERAGEIF(SttcTable3[Inter-Electrode Distance],$B38,SttcTable3[STTC])</f>
        <v>#DIV/0!</v>
      </c>
      <c r="K38" s="2" t="s">
        <v>43</v>
      </c>
    </row>
    <row r="39" spans="1:11" x14ac:dyDescent="0.25">
      <c r="B39"/>
      <c r="K39" s="2" t="s">
        <v>44</v>
      </c>
    </row>
    <row r="40" spans="1:11" x14ac:dyDescent="0.25">
      <c r="B40"/>
      <c r="K40" s="2" t="s">
        <v>45</v>
      </c>
    </row>
    <row r="41" spans="1:11" x14ac:dyDescent="0.25">
      <c r="B41"/>
      <c r="K41" s="2" t="s">
        <v>46</v>
      </c>
    </row>
    <row r="42" spans="1:11" x14ac:dyDescent="0.25">
      <c r="B42"/>
      <c r="K42" s="2" t="s">
        <v>47</v>
      </c>
    </row>
    <row r="43" spans="1:11" x14ac:dyDescent="0.25">
      <c r="B43"/>
      <c r="K43" s="2" t="s">
        <v>48</v>
      </c>
    </row>
    <row r="44" spans="1:11" x14ac:dyDescent="0.25">
      <c r="B44"/>
      <c r="K44" s="2" t="s">
        <v>49</v>
      </c>
    </row>
    <row r="45" spans="1:11" x14ac:dyDescent="0.25">
      <c r="B45"/>
      <c r="K45" s="2" t="s">
        <v>50</v>
      </c>
    </row>
    <row r="46" spans="1:11" x14ac:dyDescent="0.25">
      <c r="B46"/>
      <c r="K46" s="2" t="s">
        <v>51</v>
      </c>
    </row>
    <row r="47" spans="1:11" x14ac:dyDescent="0.25">
      <c r="B47"/>
      <c r="K47" s="2" t="s">
        <v>52</v>
      </c>
    </row>
    <row r="48" spans="1:11" x14ac:dyDescent="0.25">
      <c r="B48"/>
      <c r="K48" s="2" t="s">
        <v>53</v>
      </c>
    </row>
    <row r="49" spans="2:11" x14ac:dyDescent="0.25">
      <c r="B49"/>
      <c r="K49" s="2" t="s">
        <v>54</v>
      </c>
    </row>
    <row r="50" spans="2:11" x14ac:dyDescent="0.25">
      <c r="B50"/>
      <c r="K50" s="2" t="s">
        <v>55</v>
      </c>
    </row>
    <row r="51" spans="2:11" x14ac:dyDescent="0.25">
      <c r="B51"/>
      <c r="K51" s="2" t="s">
        <v>56</v>
      </c>
    </row>
    <row r="52" spans="2:11" x14ac:dyDescent="0.25">
      <c r="B52"/>
      <c r="K52" s="2" t="s">
        <v>57</v>
      </c>
    </row>
    <row r="53" spans="2:11" x14ac:dyDescent="0.25">
      <c r="B53"/>
      <c r="K53" s="2" t="s">
        <v>58</v>
      </c>
    </row>
    <row r="54" spans="2:11" x14ac:dyDescent="0.25">
      <c r="B54"/>
      <c r="K54" s="2" t="s">
        <v>59</v>
      </c>
    </row>
    <row r="55" spans="2:11" x14ac:dyDescent="0.25">
      <c r="B55"/>
      <c r="K55" s="2" t="s">
        <v>60</v>
      </c>
    </row>
    <row r="56" spans="2:11" x14ac:dyDescent="0.25">
      <c r="B56"/>
      <c r="K56" s="2" t="s">
        <v>61</v>
      </c>
    </row>
    <row r="57" spans="2:11" x14ac:dyDescent="0.25">
      <c r="B57"/>
      <c r="K57" s="2" t="s">
        <v>62</v>
      </c>
    </row>
    <row r="58" spans="2:11" x14ac:dyDescent="0.25">
      <c r="B58"/>
      <c r="K58" s="2" t="s">
        <v>63</v>
      </c>
    </row>
    <row r="59" spans="2:11" x14ac:dyDescent="0.25">
      <c r="B59"/>
      <c r="K59" s="2" t="s">
        <v>64</v>
      </c>
    </row>
    <row r="60" spans="2:11" x14ac:dyDescent="0.25">
      <c r="B60"/>
      <c r="K60" s="2" t="s">
        <v>65</v>
      </c>
    </row>
    <row r="61" spans="2:11" x14ac:dyDescent="0.25">
      <c r="B61"/>
      <c r="K61" s="2" t="s">
        <v>66</v>
      </c>
    </row>
    <row r="62" spans="2:11" x14ac:dyDescent="0.25">
      <c r="B62"/>
      <c r="K62" s="2" t="s">
        <v>67</v>
      </c>
    </row>
    <row r="63" spans="2:11" x14ac:dyDescent="0.25">
      <c r="B63"/>
      <c r="K63" s="2" t="s">
        <v>68</v>
      </c>
    </row>
    <row r="64" spans="2:11" x14ac:dyDescent="0.25">
      <c r="B64"/>
      <c r="K64" s="2" t="s">
        <v>69</v>
      </c>
    </row>
    <row r="65" spans="2:11" x14ac:dyDescent="0.25">
      <c r="B65"/>
      <c r="K65" s="2" t="s">
        <v>70</v>
      </c>
    </row>
    <row r="66" spans="2:11" x14ac:dyDescent="0.25">
      <c r="B66"/>
      <c r="K66" s="2" t="s">
        <v>71</v>
      </c>
    </row>
    <row r="67" spans="2:11" x14ac:dyDescent="0.25">
      <c r="B67"/>
      <c r="K67" s="2" t="s">
        <v>72</v>
      </c>
    </row>
    <row r="68" spans="2:11" x14ac:dyDescent="0.25">
      <c r="B68"/>
      <c r="K68" s="2" t="s">
        <v>73</v>
      </c>
    </row>
    <row r="69" spans="2:11" x14ac:dyDescent="0.25">
      <c r="B69"/>
      <c r="K69" s="2" t="s">
        <v>74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17" t="s">
        <v>82</v>
      </c>
    </row>
    <row r="2" spans="1:75" x14ac:dyDescent="0.25">
      <c r="A2" s="1">
        <v>200</v>
      </c>
    </row>
    <row r="3" spans="1:75" ht="18.75" x14ac:dyDescent="0.25">
      <c r="L3" s="16" t="s">
        <v>75</v>
      </c>
    </row>
    <row r="5" spans="1:75" x14ac:dyDescent="0.25">
      <c r="A5" s="2" t="s">
        <v>81</v>
      </c>
      <c r="B5" s="2" t="s">
        <v>76</v>
      </c>
      <c r="C5" s="2" t="s">
        <v>77</v>
      </c>
      <c r="F5" s="2" t="s">
        <v>10</v>
      </c>
      <c r="G5" s="2" t="s">
        <v>9</v>
      </c>
      <c r="H5" s="1" t="s">
        <v>8</v>
      </c>
      <c r="I5" s="1" t="s">
        <v>7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2" t="s">
        <v>18</v>
      </c>
      <c r="T5" s="2" t="s">
        <v>19</v>
      </c>
      <c r="U5" s="2" t="s">
        <v>20</v>
      </c>
      <c r="V5" s="2" t="s">
        <v>21</v>
      </c>
      <c r="W5" s="2" t="s">
        <v>22</v>
      </c>
      <c r="X5" s="2" t="s">
        <v>23</v>
      </c>
      <c r="Y5" s="2" t="s">
        <v>24</v>
      </c>
      <c r="Z5" s="2" t="s">
        <v>25</v>
      </c>
      <c r="AA5" s="2" t="s">
        <v>26</v>
      </c>
      <c r="AB5" s="2" t="s">
        <v>27</v>
      </c>
      <c r="AC5" s="2" t="s">
        <v>28</v>
      </c>
      <c r="AD5" s="2" t="s">
        <v>29</v>
      </c>
      <c r="AE5" s="2" t="s">
        <v>30</v>
      </c>
      <c r="AF5" s="2" t="s">
        <v>31</v>
      </c>
      <c r="AG5" s="2" t="s">
        <v>32</v>
      </c>
      <c r="AH5" s="2" t="s">
        <v>33</v>
      </c>
      <c r="AI5" s="2" t="s">
        <v>34</v>
      </c>
      <c r="AJ5" s="2" t="s">
        <v>35</v>
      </c>
      <c r="AK5" s="2" t="s">
        <v>36</v>
      </c>
      <c r="AL5" s="2" t="s">
        <v>37</v>
      </c>
      <c r="AM5" s="2" t="s">
        <v>38</v>
      </c>
      <c r="AN5" s="2" t="s">
        <v>39</v>
      </c>
      <c r="AO5" s="2" t="s">
        <v>40</v>
      </c>
      <c r="AP5" s="2" t="s">
        <v>41</v>
      </c>
      <c r="AQ5" s="2" t="s">
        <v>42</v>
      </c>
      <c r="AR5" s="2" t="s">
        <v>43</v>
      </c>
      <c r="AS5" s="2" t="s">
        <v>44</v>
      </c>
      <c r="AT5" s="2" t="s">
        <v>45</v>
      </c>
      <c r="AU5" s="2" t="s">
        <v>46</v>
      </c>
      <c r="AV5" s="2" t="s">
        <v>47</v>
      </c>
      <c r="AW5" s="2" t="s">
        <v>48</v>
      </c>
      <c r="AX5" s="2" t="s">
        <v>49</v>
      </c>
      <c r="AY5" s="2" t="s">
        <v>50</v>
      </c>
      <c r="AZ5" s="2" t="s">
        <v>51</v>
      </c>
      <c r="BA5" s="2" t="s">
        <v>52</v>
      </c>
      <c r="BB5" s="2" t="s">
        <v>53</v>
      </c>
      <c r="BC5" s="2" t="s">
        <v>54</v>
      </c>
      <c r="BD5" s="2" t="s">
        <v>55</v>
      </c>
      <c r="BE5" s="2" t="s">
        <v>56</v>
      </c>
      <c r="BF5" s="2" t="s">
        <v>57</v>
      </c>
      <c r="BG5" s="2" t="s">
        <v>58</v>
      </c>
      <c r="BH5" s="2" t="s">
        <v>59</v>
      </c>
      <c r="BI5" s="2" t="s">
        <v>60</v>
      </c>
      <c r="BJ5" s="2" t="s">
        <v>61</v>
      </c>
      <c r="BK5" s="2" t="s">
        <v>62</v>
      </c>
      <c r="BL5" s="2" t="s">
        <v>63</v>
      </c>
      <c r="BM5" s="2" t="s">
        <v>64</v>
      </c>
      <c r="BN5" s="2" t="s">
        <v>65</v>
      </c>
      <c r="BO5" s="2" t="s">
        <v>66</v>
      </c>
      <c r="BP5" s="2" t="s">
        <v>67</v>
      </c>
      <c r="BQ5" s="2" t="s">
        <v>68</v>
      </c>
      <c r="BR5" s="2" t="s">
        <v>69</v>
      </c>
      <c r="BS5" s="2" t="s">
        <v>70</v>
      </c>
      <c r="BT5" s="2" t="s">
        <v>71</v>
      </c>
      <c r="BU5" s="2" t="s">
        <v>72</v>
      </c>
      <c r="BV5" s="2" t="s">
        <v>73</v>
      </c>
      <c r="BW5" s="2" t="s">
        <v>74</v>
      </c>
    </row>
    <row r="6" spans="1:75" x14ac:dyDescent="0.25">
      <c r="A6" s="15">
        <v>1</v>
      </c>
      <c r="B6" s="15">
        <f t="shared" ref="B6:B38" si="0">$A6*$A$2</f>
        <v>200</v>
      </c>
      <c r="C6" s="15" t="e">
        <f>AVERAGEIF(SttcTable35[Inter-Electrode Distance],$B6,SttcTable35[STTC])</f>
        <v>#DIV/0!</v>
      </c>
      <c r="F6" s="4"/>
      <c r="G6" s="4"/>
      <c r="H6" s="15"/>
      <c r="I6" s="15"/>
      <c r="K6" s="2" t="s">
        <v>11</v>
      </c>
    </row>
    <row r="7" spans="1:75" x14ac:dyDescent="0.25">
      <c r="A7" s="15">
        <v>2</v>
      </c>
      <c r="B7" s="15">
        <f t="shared" si="0"/>
        <v>400</v>
      </c>
      <c r="C7" s="15" t="e">
        <f>AVERAGEIF(SttcTable35[Inter-Electrode Distance],$B7,SttcTable35[STTC])</f>
        <v>#DIV/0!</v>
      </c>
      <c r="K7" s="2" t="s">
        <v>12</v>
      </c>
    </row>
    <row r="8" spans="1:75" x14ac:dyDescent="0.25">
      <c r="A8" s="15">
        <v>3</v>
      </c>
      <c r="B8" s="15">
        <f t="shared" si="0"/>
        <v>600</v>
      </c>
      <c r="C8" s="15" t="e">
        <f>AVERAGEIF(SttcTable35[Inter-Electrode Distance],$B8,SttcTable35[STTC])</f>
        <v>#DIV/0!</v>
      </c>
      <c r="K8" s="2" t="s">
        <v>13</v>
      </c>
    </row>
    <row r="9" spans="1:75" x14ac:dyDescent="0.25">
      <c r="A9" s="15">
        <v>4</v>
      </c>
      <c r="B9" s="15">
        <f t="shared" si="0"/>
        <v>800</v>
      </c>
      <c r="C9" s="15" t="e">
        <f>AVERAGEIF(SttcTable35[Inter-Electrode Distance],$B9,SttcTable35[STTC])</f>
        <v>#DIV/0!</v>
      </c>
      <c r="K9" s="2" t="s">
        <v>14</v>
      </c>
    </row>
    <row r="10" spans="1:75" x14ac:dyDescent="0.25">
      <c r="A10" s="15">
        <v>5</v>
      </c>
      <c r="B10" s="15">
        <f t="shared" si="0"/>
        <v>1000</v>
      </c>
      <c r="C10" s="15" t="e">
        <f>AVERAGEIF(SttcTable35[Inter-Electrode Distance],$B10,SttcTable35[STTC])</f>
        <v>#DIV/0!</v>
      </c>
      <c r="K10" s="2" t="s">
        <v>15</v>
      </c>
    </row>
    <row r="11" spans="1:75" x14ac:dyDescent="0.25">
      <c r="A11" s="15">
        <v>6</v>
      </c>
      <c r="B11" s="15">
        <f t="shared" si="0"/>
        <v>1200</v>
      </c>
      <c r="C11" s="15" t="e">
        <f>AVERAGEIF(SttcTable35[Inter-Electrode Distance],$B11,SttcTable35[STTC])</f>
        <v>#DIV/0!</v>
      </c>
      <c r="K11" s="2" t="s">
        <v>16</v>
      </c>
    </row>
    <row r="12" spans="1:75" x14ac:dyDescent="0.25">
      <c r="A12" s="15">
        <v>7</v>
      </c>
      <c r="B12" s="15">
        <f t="shared" si="0"/>
        <v>1400</v>
      </c>
      <c r="C12" s="15" t="e">
        <f>AVERAGEIF(SttcTable35[Inter-Electrode Distance],$B12,SttcTable35[STTC])</f>
        <v>#DIV/0!</v>
      </c>
      <c r="K12" s="2" t="s">
        <v>17</v>
      </c>
    </row>
    <row r="13" spans="1:75" x14ac:dyDescent="0.25">
      <c r="A13" s="15">
        <v>1.4142135623730951</v>
      </c>
      <c r="B13" s="15">
        <f t="shared" si="0"/>
        <v>282.84271247461902</v>
      </c>
      <c r="C13" s="15" t="e">
        <f>AVERAGEIF(SttcTable35[Inter-Electrode Distance],$B13,SttcTable35[STTC])</f>
        <v>#DIV/0!</v>
      </c>
      <c r="K13" s="2" t="s">
        <v>18</v>
      </c>
    </row>
    <row r="14" spans="1:75" x14ac:dyDescent="0.25">
      <c r="A14" s="15">
        <v>2.2360679774997898</v>
      </c>
      <c r="B14" s="15">
        <f t="shared" si="0"/>
        <v>447.21359549995793</v>
      </c>
      <c r="C14" s="15" t="e">
        <f>AVERAGEIF(SttcTable35[Inter-Electrode Distance],$B14,SttcTable35[STTC])</f>
        <v>#DIV/0!</v>
      </c>
      <c r="K14" s="2" t="s">
        <v>19</v>
      </c>
    </row>
    <row r="15" spans="1:75" x14ac:dyDescent="0.25">
      <c r="A15" s="15">
        <v>3.1622776601683795</v>
      </c>
      <c r="B15" s="15">
        <f t="shared" si="0"/>
        <v>632.45553203367592</v>
      </c>
      <c r="C15" s="15" t="e">
        <f>AVERAGEIF(SttcTable35[Inter-Electrode Distance],$B15,SttcTable35[STTC])</f>
        <v>#DIV/0!</v>
      </c>
      <c r="K15" s="2" t="s">
        <v>20</v>
      </c>
    </row>
    <row r="16" spans="1:75" x14ac:dyDescent="0.25">
      <c r="A16" s="15">
        <v>4.1231056256176606</v>
      </c>
      <c r="B16" s="15">
        <f t="shared" si="0"/>
        <v>824.62112512353212</v>
      </c>
      <c r="C16" s="15" t="e">
        <f>AVERAGEIF(SttcTable35[Inter-Electrode Distance],$B16,SttcTable35[STTC])</f>
        <v>#DIV/0!</v>
      </c>
      <c r="K16" s="2" t="s">
        <v>21</v>
      </c>
    </row>
    <row r="17" spans="1:11" x14ac:dyDescent="0.25">
      <c r="A17" s="15">
        <v>5.0990195135927845</v>
      </c>
      <c r="B17" s="15">
        <f t="shared" si="0"/>
        <v>1019.8039027185569</v>
      </c>
      <c r="C17" s="15" t="e">
        <f>AVERAGEIF(SttcTable35[Inter-Electrode Distance],$B17,SttcTable35[STTC])</f>
        <v>#DIV/0!</v>
      </c>
      <c r="K17" s="2" t="s">
        <v>22</v>
      </c>
    </row>
    <row r="18" spans="1:11" x14ac:dyDescent="0.25">
      <c r="A18" s="15">
        <v>6.0827625302982202</v>
      </c>
      <c r="B18" s="15">
        <f t="shared" si="0"/>
        <v>1216.552506059644</v>
      </c>
      <c r="C18" s="15" t="e">
        <f>AVERAGEIF(SttcTable35[Inter-Electrode Distance],$B18,SttcTable35[STTC])</f>
        <v>#DIV/0!</v>
      </c>
      <c r="K18" s="2" t="s">
        <v>23</v>
      </c>
    </row>
    <row r="19" spans="1:11" x14ac:dyDescent="0.25">
      <c r="A19" s="15">
        <v>7.0710678118654755</v>
      </c>
      <c r="B19" s="15">
        <f t="shared" si="0"/>
        <v>1414.2135623730951</v>
      </c>
      <c r="C19" s="15" t="e">
        <f>AVERAGEIF(SttcTable35[Inter-Electrode Distance],$B19,SttcTable35[STTC])</f>
        <v>#DIV/0!</v>
      </c>
      <c r="K19" s="2" t="s">
        <v>24</v>
      </c>
    </row>
    <row r="20" spans="1:11" x14ac:dyDescent="0.25">
      <c r="A20" s="15">
        <v>2.8284271247461903</v>
      </c>
      <c r="B20" s="15">
        <f t="shared" si="0"/>
        <v>565.68542494923804</v>
      </c>
      <c r="C20" s="15" t="e">
        <f>AVERAGEIF(SttcTable35[Inter-Electrode Distance],$B20,SttcTable35[STTC])</f>
        <v>#DIV/0!</v>
      </c>
      <c r="K20" s="2" t="s">
        <v>25</v>
      </c>
    </row>
    <row r="21" spans="1:11" x14ac:dyDescent="0.25">
      <c r="A21" s="15">
        <v>3.6055512754639891</v>
      </c>
      <c r="B21" s="15">
        <f t="shared" si="0"/>
        <v>721.11025509279784</v>
      </c>
      <c r="C21" s="15" t="e">
        <f>AVERAGEIF(SttcTable35[Inter-Electrode Distance],$B21,SttcTable35[STTC])</f>
        <v>#DIV/0!</v>
      </c>
      <c r="K21" s="2" t="s">
        <v>26</v>
      </c>
    </row>
    <row r="22" spans="1:11" x14ac:dyDescent="0.25">
      <c r="A22" s="15">
        <v>4.4721359549995796</v>
      </c>
      <c r="B22" s="15">
        <f t="shared" si="0"/>
        <v>894.42719099991587</v>
      </c>
      <c r="C22" s="15" t="e">
        <f>AVERAGEIF(SttcTable35[Inter-Electrode Distance],$B22,SttcTable35[STTC])</f>
        <v>#DIV/0!</v>
      </c>
      <c r="K22" s="2" t="s">
        <v>27</v>
      </c>
    </row>
    <row r="23" spans="1:11" x14ac:dyDescent="0.25">
      <c r="A23" s="15">
        <v>5.3851648071345037</v>
      </c>
      <c r="B23" s="15">
        <f t="shared" si="0"/>
        <v>1077.0329614269008</v>
      </c>
      <c r="C23" s="15" t="e">
        <f>AVERAGEIF(SttcTable35[Inter-Electrode Distance],$B23,SttcTable35[STTC])</f>
        <v>#DIV/0!</v>
      </c>
      <c r="K23" s="2" t="s">
        <v>28</v>
      </c>
    </row>
    <row r="24" spans="1:11" x14ac:dyDescent="0.25">
      <c r="A24" s="15">
        <v>6.324555320336759</v>
      </c>
      <c r="B24" s="15">
        <f t="shared" si="0"/>
        <v>1264.9110640673518</v>
      </c>
      <c r="C24" s="15" t="e">
        <f>AVERAGEIF(SttcTable35[Inter-Electrode Distance],$B24,SttcTable35[STTC])</f>
        <v>#DIV/0!</v>
      </c>
      <c r="K24" s="2" t="s">
        <v>29</v>
      </c>
    </row>
    <row r="25" spans="1:11" x14ac:dyDescent="0.25">
      <c r="A25" s="15">
        <v>7.2801098892805181</v>
      </c>
      <c r="B25" s="15">
        <f t="shared" si="0"/>
        <v>1456.0219778561036</v>
      </c>
      <c r="C25" s="15" t="e">
        <f>AVERAGEIF(SttcTable35[Inter-Electrode Distance],$B25,SttcTable35[STTC])</f>
        <v>#DIV/0!</v>
      </c>
      <c r="K25" s="2" t="s">
        <v>30</v>
      </c>
    </row>
    <row r="26" spans="1:11" x14ac:dyDescent="0.25">
      <c r="A26" s="15">
        <v>4.2426406871192848</v>
      </c>
      <c r="B26" s="15">
        <f t="shared" si="0"/>
        <v>848.52813742385695</v>
      </c>
      <c r="C26" s="15" t="e">
        <f>AVERAGEIF(SttcTable35[Inter-Electrode Distance],$B26,SttcTable35[STTC])</f>
        <v>#DIV/0!</v>
      </c>
      <c r="K26" s="2" t="s">
        <v>31</v>
      </c>
    </row>
    <row r="27" spans="1:11" x14ac:dyDescent="0.25">
      <c r="A27" s="15">
        <v>5.8309518948453016</v>
      </c>
      <c r="B27" s="15">
        <f t="shared" si="0"/>
        <v>1166.1903789690602</v>
      </c>
      <c r="C27" s="15" t="e">
        <f>AVERAGEIF(SttcTable35[Inter-Electrode Distance],$B27,SttcTable35[STTC])</f>
        <v>#DIV/0!</v>
      </c>
      <c r="K27" s="2" t="s">
        <v>32</v>
      </c>
    </row>
    <row r="28" spans="1:11" x14ac:dyDescent="0.25">
      <c r="A28" s="15">
        <v>6.7082039324993694</v>
      </c>
      <c r="B28" s="15">
        <f t="shared" si="0"/>
        <v>1341.6407864998739</v>
      </c>
      <c r="C28" s="15" t="e">
        <f>AVERAGEIF(SttcTable35[Inter-Electrode Distance],$B28,SttcTable35[STTC])</f>
        <v>#DIV/0!</v>
      </c>
      <c r="K28" s="2" t="s">
        <v>33</v>
      </c>
    </row>
    <row r="29" spans="1:11" x14ac:dyDescent="0.25">
      <c r="A29" s="15">
        <v>7.6157731058639095</v>
      </c>
      <c r="B29" s="15">
        <f t="shared" si="0"/>
        <v>1523.1546211727818</v>
      </c>
      <c r="C29" s="15" t="e">
        <f>AVERAGEIF(SttcTable35[Inter-Electrode Distance],$B29,SttcTable35[STTC])</f>
        <v>#DIV/0!</v>
      </c>
      <c r="K29" s="2" t="s">
        <v>34</v>
      </c>
    </row>
    <row r="30" spans="1:11" x14ac:dyDescent="0.25">
      <c r="A30" s="15">
        <v>5.6568542494923806</v>
      </c>
      <c r="B30" s="15">
        <f t="shared" si="0"/>
        <v>1131.3708498984761</v>
      </c>
      <c r="C30" s="15" t="e">
        <f>AVERAGEIF(SttcTable35[Inter-Electrode Distance],$B30,SttcTable35[STTC])</f>
        <v>#DIV/0!</v>
      </c>
      <c r="K30" s="2" t="s">
        <v>35</v>
      </c>
    </row>
    <row r="31" spans="1:11" x14ac:dyDescent="0.25">
      <c r="A31" s="15">
        <v>6.4031242374328485</v>
      </c>
      <c r="B31" s="15">
        <f t="shared" si="0"/>
        <v>1280.6248474865697</v>
      </c>
      <c r="C31" s="15" t="e">
        <f>AVERAGEIF(SttcTable35[Inter-Electrode Distance],$B31,SttcTable35[STTC])</f>
        <v>#DIV/0!</v>
      </c>
      <c r="K31" s="2" t="s">
        <v>36</v>
      </c>
    </row>
    <row r="32" spans="1:11" x14ac:dyDescent="0.25">
      <c r="A32" s="15">
        <v>7.2111025509279782</v>
      </c>
      <c r="B32" s="15">
        <f t="shared" si="0"/>
        <v>1442.2205101855957</v>
      </c>
      <c r="C32" s="15" t="e">
        <f>AVERAGEIF(SttcTable35[Inter-Electrode Distance],$B32,SttcTable35[STTC])</f>
        <v>#DIV/0!</v>
      </c>
      <c r="K32" s="2" t="s">
        <v>37</v>
      </c>
    </row>
    <row r="33" spans="1:11" x14ac:dyDescent="0.25">
      <c r="A33" s="15">
        <v>8.0622577482985491</v>
      </c>
      <c r="B33" s="15">
        <f t="shared" si="0"/>
        <v>1612.4515496597098</v>
      </c>
      <c r="C33" s="15" t="e">
        <f>AVERAGEIF(SttcTable35[Inter-Electrode Distance],$B33,SttcTable35[STTC])</f>
        <v>#DIV/0!</v>
      </c>
      <c r="K33" s="2" t="s">
        <v>38</v>
      </c>
    </row>
    <row r="34" spans="1:11" x14ac:dyDescent="0.25">
      <c r="A34" s="15">
        <v>7.810249675906654</v>
      </c>
      <c r="B34" s="15">
        <f t="shared" si="0"/>
        <v>1562.0499351813307</v>
      </c>
      <c r="C34" s="15" t="e">
        <f>AVERAGEIF(SttcTable35[Inter-Electrode Distance],$B34,SttcTable35[STTC])</f>
        <v>#DIV/0!</v>
      </c>
      <c r="K34" s="2" t="s">
        <v>39</v>
      </c>
    </row>
    <row r="35" spans="1:11" x14ac:dyDescent="0.25">
      <c r="A35" s="15">
        <v>8.6023252670426267</v>
      </c>
      <c r="B35" s="15">
        <f t="shared" si="0"/>
        <v>1720.4650534085254</v>
      </c>
      <c r="C35" s="15" t="e">
        <f>AVERAGEIF(SttcTable35[Inter-Electrode Distance],$B35,SttcTable35[STTC])</f>
        <v>#DIV/0!</v>
      </c>
      <c r="K35" s="2" t="s">
        <v>40</v>
      </c>
    </row>
    <row r="36" spans="1:11" x14ac:dyDescent="0.25">
      <c r="A36" s="15">
        <v>8.4852813742385695</v>
      </c>
      <c r="B36" s="15">
        <f t="shared" si="0"/>
        <v>1697.0562748477139</v>
      </c>
      <c r="C36" s="15" t="e">
        <f>AVERAGEIF(SttcTable35[Inter-Electrode Distance],$B36,SttcTable35[STTC])</f>
        <v>#DIV/0!</v>
      </c>
      <c r="K36" s="2" t="s">
        <v>41</v>
      </c>
    </row>
    <row r="37" spans="1:11" x14ac:dyDescent="0.25">
      <c r="A37" s="15">
        <v>9.2195444572928871</v>
      </c>
      <c r="B37" s="15">
        <f t="shared" si="0"/>
        <v>1843.9088914585775</v>
      </c>
      <c r="C37" s="15" t="e">
        <f>AVERAGEIF(SttcTable35[Inter-Electrode Distance],$B37,SttcTable35[STTC])</f>
        <v>#DIV/0!</v>
      </c>
      <c r="K37" s="2" t="s">
        <v>42</v>
      </c>
    </row>
    <row r="38" spans="1:11" x14ac:dyDescent="0.25">
      <c r="A38" s="15">
        <v>9.8994949366116654</v>
      </c>
      <c r="B38" s="15">
        <f t="shared" si="0"/>
        <v>1979.8989873223331</v>
      </c>
      <c r="C38" s="15" t="e">
        <f>AVERAGEIF(SttcTable35[Inter-Electrode Distance],$B38,SttcTable35[STTC])</f>
        <v>#DIV/0!</v>
      </c>
      <c r="K38" s="2" t="s">
        <v>43</v>
      </c>
    </row>
    <row r="39" spans="1:11" x14ac:dyDescent="0.25">
      <c r="B39"/>
      <c r="K39" s="2" t="s">
        <v>44</v>
      </c>
    </row>
    <row r="40" spans="1:11" x14ac:dyDescent="0.25">
      <c r="B40"/>
      <c r="K40" s="2" t="s">
        <v>45</v>
      </c>
    </row>
    <row r="41" spans="1:11" x14ac:dyDescent="0.25">
      <c r="B41"/>
      <c r="K41" s="2" t="s">
        <v>46</v>
      </c>
    </row>
    <row r="42" spans="1:11" x14ac:dyDescent="0.25">
      <c r="B42"/>
      <c r="K42" s="2" t="s">
        <v>47</v>
      </c>
    </row>
    <row r="43" spans="1:11" x14ac:dyDescent="0.25">
      <c r="B43"/>
      <c r="K43" s="2" t="s">
        <v>48</v>
      </c>
    </row>
    <row r="44" spans="1:11" x14ac:dyDescent="0.25">
      <c r="B44"/>
      <c r="K44" s="2" t="s">
        <v>49</v>
      </c>
    </row>
    <row r="45" spans="1:11" x14ac:dyDescent="0.25">
      <c r="B45"/>
      <c r="K45" s="2" t="s">
        <v>50</v>
      </c>
    </row>
    <row r="46" spans="1:11" x14ac:dyDescent="0.25">
      <c r="B46"/>
      <c r="K46" s="2" t="s">
        <v>51</v>
      </c>
    </row>
    <row r="47" spans="1:11" x14ac:dyDescent="0.25">
      <c r="B47"/>
      <c r="K47" s="2" t="s">
        <v>52</v>
      </c>
    </row>
    <row r="48" spans="1:11" x14ac:dyDescent="0.25">
      <c r="B48"/>
      <c r="K48" s="2" t="s">
        <v>53</v>
      </c>
    </row>
    <row r="49" spans="2:11" x14ac:dyDescent="0.25">
      <c r="B49"/>
      <c r="K49" s="2" t="s">
        <v>54</v>
      </c>
    </row>
    <row r="50" spans="2:11" x14ac:dyDescent="0.25">
      <c r="B50"/>
      <c r="K50" s="2" t="s">
        <v>55</v>
      </c>
    </row>
    <row r="51" spans="2:11" x14ac:dyDescent="0.25">
      <c r="B51"/>
      <c r="K51" s="2" t="s">
        <v>56</v>
      </c>
    </row>
    <row r="52" spans="2:11" x14ac:dyDescent="0.25">
      <c r="B52"/>
      <c r="K52" s="2" t="s">
        <v>57</v>
      </c>
    </row>
    <row r="53" spans="2:11" x14ac:dyDescent="0.25">
      <c r="B53"/>
      <c r="K53" s="2" t="s">
        <v>58</v>
      </c>
    </row>
    <row r="54" spans="2:11" x14ac:dyDescent="0.25">
      <c r="B54"/>
      <c r="K54" s="2" t="s">
        <v>59</v>
      </c>
    </row>
    <row r="55" spans="2:11" x14ac:dyDescent="0.25">
      <c r="B55"/>
      <c r="K55" s="2" t="s">
        <v>60</v>
      </c>
    </row>
    <row r="56" spans="2:11" x14ac:dyDescent="0.25">
      <c r="B56"/>
      <c r="K56" s="2" t="s">
        <v>61</v>
      </c>
    </row>
    <row r="57" spans="2:11" x14ac:dyDescent="0.25">
      <c r="B57"/>
      <c r="K57" s="2" t="s">
        <v>62</v>
      </c>
    </row>
    <row r="58" spans="2:11" x14ac:dyDescent="0.25">
      <c r="B58"/>
      <c r="K58" s="2" t="s">
        <v>63</v>
      </c>
    </row>
    <row r="59" spans="2:11" x14ac:dyDescent="0.25">
      <c r="B59"/>
      <c r="K59" s="2" t="s">
        <v>64</v>
      </c>
    </row>
    <row r="60" spans="2:11" x14ac:dyDescent="0.25">
      <c r="B60"/>
      <c r="K60" s="2" t="s">
        <v>65</v>
      </c>
    </row>
    <row r="61" spans="2:11" x14ac:dyDescent="0.25">
      <c r="B61"/>
      <c r="K61" s="2" t="s">
        <v>66</v>
      </c>
    </row>
    <row r="62" spans="2:11" x14ac:dyDescent="0.25">
      <c r="B62"/>
      <c r="K62" s="2" t="s">
        <v>67</v>
      </c>
    </row>
    <row r="63" spans="2:11" x14ac:dyDescent="0.25">
      <c r="B63"/>
      <c r="K63" s="2" t="s">
        <v>68</v>
      </c>
    </row>
    <row r="64" spans="2:11" x14ac:dyDescent="0.25">
      <c r="B64"/>
      <c r="K64" s="2" t="s">
        <v>69</v>
      </c>
    </row>
    <row r="65" spans="2:11" x14ac:dyDescent="0.25">
      <c r="B65"/>
      <c r="K65" s="2" t="s">
        <v>70</v>
      </c>
    </row>
    <row r="66" spans="2:11" x14ac:dyDescent="0.25">
      <c r="B66"/>
      <c r="K66" s="2" t="s">
        <v>71</v>
      </c>
    </row>
    <row r="67" spans="2:11" x14ac:dyDescent="0.25">
      <c r="B67"/>
      <c r="K67" s="2" t="s">
        <v>72</v>
      </c>
    </row>
    <row r="68" spans="2:11" x14ac:dyDescent="0.25">
      <c r="B68"/>
      <c r="K68" s="2" t="s">
        <v>73</v>
      </c>
    </row>
    <row r="69" spans="2:11" x14ac:dyDescent="0.25">
      <c r="B69"/>
      <c r="K69" s="2" t="s">
        <v>74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W2021"/>
  <sheetViews>
    <sheetView workbookViewId="0">
      <selection activeCell="L6" sqref="L6"/>
    </sheetView>
  </sheetViews>
  <sheetFormatPr defaultRowHeight="15" x14ac:dyDescent="0.25"/>
  <cols>
    <col min="1" max="1" width="12.7109375" style="1" bestFit="1" customWidth="1"/>
    <col min="2" max="2" width="9.140625" style="1"/>
    <col min="3" max="3" width="10.5703125" style="1" bestFit="1" customWidth="1"/>
    <col min="4" max="5" width="9.140625" style="1"/>
    <col min="6" max="7" width="16" style="1" bestFit="1" customWidth="1"/>
    <col min="8" max="8" width="27.42578125" style="1" bestFit="1" customWidth="1"/>
    <col min="9" max="9" width="9.7109375" style="1" bestFit="1" customWidth="1"/>
    <col min="10" max="16384" width="9.140625" style="1"/>
  </cols>
  <sheetData>
    <row r="1" spans="1:75" x14ac:dyDescent="0.25">
      <c r="A1" s="17" t="s">
        <v>82</v>
      </c>
    </row>
    <row r="2" spans="1:75" x14ac:dyDescent="0.25">
      <c r="A2" s="1">
        <v>200</v>
      </c>
    </row>
    <row r="3" spans="1:75" ht="18.75" x14ac:dyDescent="0.25">
      <c r="L3" s="16" t="s">
        <v>75</v>
      </c>
    </row>
    <row r="5" spans="1:75" x14ac:dyDescent="0.25">
      <c r="A5" s="2" t="s">
        <v>81</v>
      </c>
      <c r="B5" s="2" t="s">
        <v>76</v>
      </c>
      <c r="C5" s="2" t="s">
        <v>77</v>
      </c>
      <c r="F5" s="2" t="s">
        <v>10</v>
      </c>
      <c r="G5" s="2" t="s">
        <v>9</v>
      </c>
      <c r="H5" s="1" t="s">
        <v>8</v>
      </c>
      <c r="I5" s="1" t="s">
        <v>7</v>
      </c>
      <c r="L5" s="2" t="s">
        <v>11</v>
      </c>
      <c r="M5" s="2" t="s">
        <v>12</v>
      </c>
      <c r="N5" s="2" t="s">
        <v>13</v>
      </c>
      <c r="O5" s="2" t="s">
        <v>14</v>
      </c>
      <c r="P5" s="2" t="s">
        <v>15</v>
      </c>
      <c r="Q5" s="2" t="s">
        <v>16</v>
      </c>
      <c r="R5" s="2" t="s">
        <v>17</v>
      </c>
      <c r="S5" s="2" t="s">
        <v>18</v>
      </c>
      <c r="T5" s="2" t="s">
        <v>19</v>
      </c>
      <c r="U5" s="2" t="s">
        <v>20</v>
      </c>
      <c r="V5" s="2" t="s">
        <v>21</v>
      </c>
      <c r="W5" s="2" t="s">
        <v>22</v>
      </c>
      <c r="X5" s="2" t="s">
        <v>23</v>
      </c>
      <c r="Y5" s="2" t="s">
        <v>24</v>
      </c>
      <c r="Z5" s="2" t="s">
        <v>25</v>
      </c>
      <c r="AA5" s="2" t="s">
        <v>26</v>
      </c>
      <c r="AB5" s="2" t="s">
        <v>27</v>
      </c>
      <c r="AC5" s="2" t="s">
        <v>28</v>
      </c>
      <c r="AD5" s="2" t="s">
        <v>29</v>
      </c>
      <c r="AE5" s="2" t="s">
        <v>30</v>
      </c>
      <c r="AF5" s="2" t="s">
        <v>31</v>
      </c>
      <c r="AG5" s="2" t="s">
        <v>32</v>
      </c>
      <c r="AH5" s="2" t="s">
        <v>33</v>
      </c>
      <c r="AI5" s="2" t="s">
        <v>34</v>
      </c>
      <c r="AJ5" s="2" t="s">
        <v>35</v>
      </c>
      <c r="AK5" s="2" t="s">
        <v>36</v>
      </c>
      <c r="AL5" s="2" t="s">
        <v>37</v>
      </c>
      <c r="AM5" s="2" t="s">
        <v>38</v>
      </c>
      <c r="AN5" s="2" t="s">
        <v>39</v>
      </c>
      <c r="AO5" s="2" t="s">
        <v>40</v>
      </c>
      <c r="AP5" s="2" t="s">
        <v>41</v>
      </c>
      <c r="AQ5" s="2" t="s">
        <v>42</v>
      </c>
      <c r="AR5" s="2" t="s">
        <v>43</v>
      </c>
      <c r="AS5" s="2" t="s">
        <v>44</v>
      </c>
      <c r="AT5" s="2" t="s">
        <v>45</v>
      </c>
      <c r="AU5" s="2" t="s">
        <v>46</v>
      </c>
      <c r="AV5" s="2" t="s">
        <v>47</v>
      </c>
      <c r="AW5" s="2" t="s">
        <v>48</v>
      </c>
      <c r="AX5" s="2" t="s">
        <v>49</v>
      </c>
      <c r="AY5" s="2" t="s">
        <v>50</v>
      </c>
      <c r="AZ5" s="2" t="s">
        <v>51</v>
      </c>
      <c r="BA5" s="2" t="s">
        <v>52</v>
      </c>
      <c r="BB5" s="2" t="s">
        <v>53</v>
      </c>
      <c r="BC5" s="2" t="s">
        <v>54</v>
      </c>
      <c r="BD5" s="2" t="s">
        <v>55</v>
      </c>
      <c r="BE5" s="2" t="s">
        <v>56</v>
      </c>
      <c r="BF5" s="2" t="s">
        <v>57</v>
      </c>
      <c r="BG5" s="2" t="s">
        <v>58</v>
      </c>
      <c r="BH5" s="2" t="s">
        <v>59</v>
      </c>
      <c r="BI5" s="2" t="s">
        <v>60</v>
      </c>
      <c r="BJ5" s="2" t="s">
        <v>61</v>
      </c>
      <c r="BK5" s="2" t="s">
        <v>62</v>
      </c>
      <c r="BL5" s="2" t="s">
        <v>63</v>
      </c>
      <c r="BM5" s="2" t="s">
        <v>64</v>
      </c>
      <c r="BN5" s="2" t="s">
        <v>65</v>
      </c>
      <c r="BO5" s="2" t="s">
        <v>66</v>
      </c>
      <c r="BP5" s="2" t="s">
        <v>67</v>
      </c>
      <c r="BQ5" s="2" t="s">
        <v>68</v>
      </c>
      <c r="BR5" s="2" t="s">
        <v>69</v>
      </c>
      <c r="BS5" s="2" t="s">
        <v>70</v>
      </c>
      <c r="BT5" s="2" t="s">
        <v>71</v>
      </c>
      <c r="BU5" s="2" t="s">
        <v>72</v>
      </c>
      <c r="BV5" s="2" t="s">
        <v>73</v>
      </c>
      <c r="BW5" s="2" t="s">
        <v>74</v>
      </c>
    </row>
    <row r="6" spans="1:75" x14ac:dyDescent="0.25">
      <c r="A6" s="15">
        <v>1</v>
      </c>
      <c r="B6" s="15">
        <f t="shared" ref="B6:B38" si="0">$A6*$A$2</f>
        <v>200</v>
      </c>
      <c r="C6" s="15" t="e">
        <f>AVERAGEIF(SttcTable356[Inter-Electrode Distance],$B6,SttcTable356[STTC])</f>
        <v>#DIV/0!</v>
      </c>
      <c r="F6" s="4"/>
      <c r="G6" s="4"/>
      <c r="H6" s="15"/>
      <c r="I6" s="15"/>
      <c r="K6" s="2" t="s">
        <v>11</v>
      </c>
    </row>
    <row r="7" spans="1:75" x14ac:dyDescent="0.25">
      <c r="A7" s="15">
        <v>2</v>
      </c>
      <c r="B7" s="15">
        <f t="shared" si="0"/>
        <v>400</v>
      </c>
      <c r="C7" s="15" t="e">
        <f>AVERAGEIF(SttcTable356[Inter-Electrode Distance],$B7,SttcTable356[STTC])</f>
        <v>#DIV/0!</v>
      </c>
      <c r="K7" s="2" t="s">
        <v>12</v>
      </c>
    </row>
    <row r="8" spans="1:75" x14ac:dyDescent="0.25">
      <c r="A8" s="15">
        <v>3</v>
      </c>
      <c r="B8" s="15">
        <f t="shared" si="0"/>
        <v>600</v>
      </c>
      <c r="C8" s="15" t="e">
        <f>AVERAGEIF(SttcTable356[Inter-Electrode Distance],$B8,SttcTable356[STTC])</f>
        <v>#DIV/0!</v>
      </c>
      <c r="K8" s="2" t="s">
        <v>13</v>
      </c>
    </row>
    <row r="9" spans="1:75" x14ac:dyDescent="0.25">
      <c r="A9" s="15">
        <v>4</v>
      </c>
      <c r="B9" s="15">
        <f t="shared" si="0"/>
        <v>800</v>
      </c>
      <c r="C9" s="15" t="e">
        <f>AVERAGEIF(SttcTable356[Inter-Electrode Distance],$B9,SttcTable356[STTC])</f>
        <v>#DIV/0!</v>
      </c>
      <c r="K9" s="2" t="s">
        <v>14</v>
      </c>
    </row>
    <row r="10" spans="1:75" x14ac:dyDescent="0.25">
      <c r="A10" s="15">
        <v>5</v>
      </c>
      <c r="B10" s="15">
        <f t="shared" si="0"/>
        <v>1000</v>
      </c>
      <c r="C10" s="15" t="e">
        <f>AVERAGEIF(SttcTable356[Inter-Electrode Distance],$B10,SttcTable356[STTC])</f>
        <v>#DIV/0!</v>
      </c>
      <c r="K10" s="2" t="s">
        <v>15</v>
      </c>
    </row>
    <row r="11" spans="1:75" x14ac:dyDescent="0.25">
      <c r="A11" s="15">
        <v>6</v>
      </c>
      <c r="B11" s="15">
        <f t="shared" si="0"/>
        <v>1200</v>
      </c>
      <c r="C11" s="15" t="e">
        <f>AVERAGEIF(SttcTable356[Inter-Electrode Distance],$B11,SttcTable356[STTC])</f>
        <v>#DIV/0!</v>
      </c>
      <c r="K11" s="2" t="s">
        <v>16</v>
      </c>
    </row>
    <row r="12" spans="1:75" x14ac:dyDescent="0.25">
      <c r="A12" s="15">
        <v>7</v>
      </c>
      <c r="B12" s="15">
        <f t="shared" si="0"/>
        <v>1400</v>
      </c>
      <c r="C12" s="15" t="e">
        <f>AVERAGEIF(SttcTable356[Inter-Electrode Distance],$B12,SttcTable356[STTC])</f>
        <v>#DIV/0!</v>
      </c>
      <c r="K12" s="2" t="s">
        <v>17</v>
      </c>
    </row>
    <row r="13" spans="1:75" x14ac:dyDescent="0.25">
      <c r="A13" s="15">
        <v>1.4142135623730951</v>
      </c>
      <c r="B13" s="15">
        <f t="shared" si="0"/>
        <v>282.84271247461902</v>
      </c>
      <c r="C13" s="15" t="e">
        <f>AVERAGEIF(SttcTable356[Inter-Electrode Distance],$B13,SttcTable356[STTC])</f>
        <v>#DIV/0!</v>
      </c>
      <c r="K13" s="2" t="s">
        <v>18</v>
      </c>
    </row>
    <row r="14" spans="1:75" x14ac:dyDescent="0.25">
      <c r="A14" s="15">
        <v>2.2360679774997898</v>
      </c>
      <c r="B14" s="15">
        <f t="shared" si="0"/>
        <v>447.21359549995793</v>
      </c>
      <c r="C14" s="15" t="e">
        <f>AVERAGEIF(SttcTable356[Inter-Electrode Distance],$B14,SttcTable356[STTC])</f>
        <v>#DIV/0!</v>
      </c>
      <c r="K14" s="2" t="s">
        <v>19</v>
      </c>
    </row>
    <row r="15" spans="1:75" x14ac:dyDescent="0.25">
      <c r="A15" s="15">
        <v>3.1622776601683795</v>
      </c>
      <c r="B15" s="15">
        <f t="shared" si="0"/>
        <v>632.45553203367592</v>
      </c>
      <c r="C15" s="15" t="e">
        <f>AVERAGEIF(SttcTable356[Inter-Electrode Distance],$B15,SttcTable356[STTC])</f>
        <v>#DIV/0!</v>
      </c>
      <c r="K15" s="2" t="s">
        <v>20</v>
      </c>
    </row>
    <row r="16" spans="1:75" x14ac:dyDescent="0.25">
      <c r="A16" s="15">
        <v>4.1231056256176606</v>
      </c>
      <c r="B16" s="15">
        <f t="shared" si="0"/>
        <v>824.62112512353212</v>
      </c>
      <c r="C16" s="15" t="e">
        <f>AVERAGEIF(SttcTable356[Inter-Electrode Distance],$B16,SttcTable356[STTC])</f>
        <v>#DIV/0!</v>
      </c>
      <c r="K16" s="2" t="s">
        <v>21</v>
      </c>
    </row>
    <row r="17" spans="1:11" x14ac:dyDescent="0.25">
      <c r="A17" s="15">
        <v>5.0990195135927845</v>
      </c>
      <c r="B17" s="15">
        <f t="shared" si="0"/>
        <v>1019.8039027185569</v>
      </c>
      <c r="C17" s="15" t="e">
        <f>AVERAGEIF(SttcTable356[Inter-Electrode Distance],$B17,SttcTable356[STTC])</f>
        <v>#DIV/0!</v>
      </c>
      <c r="K17" s="2" t="s">
        <v>22</v>
      </c>
    </row>
    <row r="18" spans="1:11" x14ac:dyDescent="0.25">
      <c r="A18" s="15">
        <v>6.0827625302982202</v>
      </c>
      <c r="B18" s="15">
        <f t="shared" si="0"/>
        <v>1216.552506059644</v>
      </c>
      <c r="C18" s="15" t="e">
        <f>AVERAGEIF(SttcTable356[Inter-Electrode Distance],$B18,SttcTable356[STTC])</f>
        <v>#DIV/0!</v>
      </c>
      <c r="K18" s="2" t="s">
        <v>23</v>
      </c>
    </row>
    <row r="19" spans="1:11" x14ac:dyDescent="0.25">
      <c r="A19" s="15">
        <v>7.0710678118654755</v>
      </c>
      <c r="B19" s="15">
        <f t="shared" si="0"/>
        <v>1414.2135623730951</v>
      </c>
      <c r="C19" s="15" t="e">
        <f>AVERAGEIF(SttcTable356[Inter-Electrode Distance],$B19,SttcTable356[STTC])</f>
        <v>#DIV/0!</v>
      </c>
      <c r="K19" s="2" t="s">
        <v>24</v>
      </c>
    </row>
    <row r="20" spans="1:11" x14ac:dyDescent="0.25">
      <c r="A20" s="15">
        <v>2.8284271247461903</v>
      </c>
      <c r="B20" s="15">
        <f t="shared" si="0"/>
        <v>565.68542494923804</v>
      </c>
      <c r="C20" s="15" t="e">
        <f>AVERAGEIF(SttcTable356[Inter-Electrode Distance],$B20,SttcTable356[STTC])</f>
        <v>#DIV/0!</v>
      </c>
      <c r="K20" s="2" t="s">
        <v>25</v>
      </c>
    </row>
    <row r="21" spans="1:11" x14ac:dyDescent="0.25">
      <c r="A21" s="15">
        <v>3.6055512754639891</v>
      </c>
      <c r="B21" s="15">
        <f t="shared" si="0"/>
        <v>721.11025509279784</v>
      </c>
      <c r="C21" s="15" t="e">
        <f>AVERAGEIF(SttcTable356[Inter-Electrode Distance],$B21,SttcTable356[STTC])</f>
        <v>#DIV/0!</v>
      </c>
      <c r="K21" s="2" t="s">
        <v>26</v>
      </c>
    </row>
    <row r="22" spans="1:11" x14ac:dyDescent="0.25">
      <c r="A22" s="15">
        <v>4.4721359549995796</v>
      </c>
      <c r="B22" s="15">
        <f t="shared" si="0"/>
        <v>894.42719099991587</v>
      </c>
      <c r="C22" s="15" t="e">
        <f>AVERAGEIF(SttcTable356[Inter-Electrode Distance],$B22,SttcTable356[STTC])</f>
        <v>#DIV/0!</v>
      </c>
      <c r="K22" s="2" t="s">
        <v>27</v>
      </c>
    </row>
    <row r="23" spans="1:11" x14ac:dyDescent="0.25">
      <c r="A23" s="15">
        <v>5.3851648071345037</v>
      </c>
      <c r="B23" s="15">
        <f t="shared" si="0"/>
        <v>1077.0329614269008</v>
      </c>
      <c r="C23" s="15" t="e">
        <f>AVERAGEIF(SttcTable356[Inter-Electrode Distance],$B23,SttcTable356[STTC])</f>
        <v>#DIV/0!</v>
      </c>
      <c r="K23" s="2" t="s">
        <v>28</v>
      </c>
    </row>
    <row r="24" spans="1:11" x14ac:dyDescent="0.25">
      <c r="A24" s="15">
        <v>6.324555320336759</v>
      </c>
      <c r="B24" s="15">
        <f t="shared" si="0"/>
        <v>1264.9110640673518</v>
      </c>
      <c r="C24" s="15" t="e">
        <f>AVERAGEIF(SttcTable356[Inter-Electrode Distance],$B24,SttcTable356[STTC])</f>
        <v>#DIV/0!</v>
      </c>
      <c r="K24" s="2" t="s">
        <v>29</v>
      </c>
    </row>
    <row r="25" spans="1:11" x14ac:dyDescent="0.25">
      <c r="A25" s="15">
        <v>7.2801098892805181</v>
      </c>
      <c r="B25" s="15">
        <f t="shared" si="0"/>
        <v>1456.0219778561036</v>
      </c>
      <c r="C25" s="15" t="e">
        <f>AVERAGEIF(SttcTable356[Inter-Electrode Distance],$B25,SttcTable356[STTC])</f>
        <v>#DIV/0!</v>
      </c>
      <c r="K25" s="2" t="s">
        <v>30</v>
      </c>
    </row>
    <row r="26" spans="1:11" x14ac:dyDescent="0.25">
      <c r="A26" s="15">
        <v>4.2426406871192848</v>
      </c>
      <c r="B26" s="15">
        <f t="shared" si="0"/>
        <v>848.52813742385695</v>
      </c>
      <c r="C26" s="15" t="e">
        <f>AVERAGEIF(SttcTable356[Inter-Electrode Distance],$B26,SttcTable356[STTC])</f>
        <v>#DIV/0!</v>
      </c>
      <c r="K26" s="2" t="s">
        <v>31</v>
      </c>
    </row>
    <row r="27" spans="1:11" x14ac:dyDescent="0.25">
      <c r="A27" s="15">
        <v>5.8309518948453016</v>
      </c>
      <c r="B27" s="15">
        <f t="shared" si="0"/>
        <v>1166.1903789690602</v>
      </c>
      <c r="C27" s="15" t="e">
        <f>AVERAGEIF(SttcTable356[Inter-Electrode Distance],$B27,SttcTable356[STTC])</f>
        <v>#DIV/0!</v>
      </c>
      <c r="K27" s="2" t="s">
        <v>32</v>
      </c>
    </row>
    <row r="28" spans="1:11" x14ac:dyDescent="0.25">
      <c r="A28" s="15">
        <v>6.7082039324993694</v>
      </c>
      <c r="B28" s="15">
        <f t="shared" si="0"/>
        <v>1341.6407864998739</v>
      </c>
      <c r="C28" s="15" t="e">
        <f>AVERAGEIF(SttcTable356[Inter-Electrode Distance],$B28,SttcTable356[STTC])</f>
        <v>#DIV/0!</v>
      </c>
      <c r="K28" s="2" t="s">
        <v>33</v>
      </c>
    </row>
    <row r="29" spans="1:11" x14ac:dyDescent="0.25">
      <c r="A29" s="15">
        <v>7.6157731058639095</v>
      </c>
      <c r="B29" s="15">
        <f t="shared" si="0"/>
        <v>1523.1546211727818</v>
      </c>
      <c r="C29" s="15" t="e">
        <f>AVERAGEIF(SttcTable356[Inter-Electrode Distance],$B29,SttcTable356[STTC])</f>
        <v>#DIV/0!</v>
      </c>
      <c r="K29" s="2" t="s">
        <v>34</v>
      </c>
    </row>
    <row r="30" spans="1:11" x14ac:dyDescent="0.25">
      <c r="A30" s="15">
        <v>5.6568542494923806</v>
      </c>
      <c r="B30" s="15">
        <f t="shared" si="0"/>
        <v>1131.3708498984761</v>
      </c>
      <c r="C30" s="15" t="e">
        <f>AVERAGEIF(SttcTable356[Inter-Electrode Distance],$B30,SttcTable356[STTC])</f>
        <v>#DIV/0!</v>
      </c>
      <c r="K30" s="2" t="s">
        <v>35</v>
      </c>
    </row>
    <row r="31" spans="1:11" x14ac:dyDescent="0.25">
      <c r="A31" s="15">
        <v>6.4031242374328485</v>
      </c>
      <c r="B31" s="15">
        <f t="shared" si="0"/>
        <v>1280.6248474865697</v>
      </c>
      <c r="C31" s="15" t="e">
        <f>AVERAGEIF(SttcTable356[Inter-Electrode Distance],$B31,SttcTable356[STTC])</f>
        <v>#DIV/0!</v>
      </c>
      <c r="K31" s="2" t="s">
        <v>36</v>
      </c>
    </row>
    <row r="32" spans="1:11" x14ac:dyDescent="0.25">
      <c r="A32" s="15">
        <v>7.2111025509279782</v>
      </c>
      <c r="B32" s="15">
        <f t="shared" si="0"/>
        <v>1442.2205101855957</v>
      </c>
      <c r="C32" s="15" t="e">
        <f>AVERAGEIF(SttcTable356[Inter-Electrode Distance],$B32,SttcTable356[STTC])</f>
        <v>#DIV/0!</v>
      </c>
      <c r="K32" s="2" t="s">
        <v>37</v>
      </c>
    </row>
    <row r="33" spans="1:11" x14ac:dyDescent="0.25">
      <c r="A33" s="15">
        <v>8.0622577482985491</v>
      </c>
      <c r="B33" s="15">
        <f t="shared" si="0"/>
        <v>1612.4515496597098</v>
      </c>
      <c r="C33" s="15" t="e">
        <f>AVERAGEIF(SttcTable356[Inter-Electrode Distance],$B33,SttcTable356[STTC])</f>
        <v>#DIV/0!</v>
      </c>
      <c r="K33" s="2" t="s">
        <v>38</v>
      </c>
    </row>
    <row r="34" spans="1:11" x14ac:dyDescent="0.25">
      <c r="A34" s="15">
        <v>7.810249675906654</v>
      </c>
      <c r="B34" s="15">
        <f t="shared" si="0"/>
        <v>1562.0499351813307</v>
      </c>
      <c r="C34" s="15" t="e">
        <f>AVERAGEIF(SttcTable356[Inter-Electrode Distance],$B34,SttcTable356[STTC])</f>
        <v>#DIV/0!</v>
      </c>
      <c r="K34" s="2" t="s">
        <v>39</v>
      </c>
    </row>
    <row r="35" spans="1:11" x14ac:dyDescent="0.25">
      <c r="A35" s="15">
        <v>8.6023252670426267</v>
      </c>
      <c r="B35" s="15">
        <f t="shared" si="0"/>
        <v>1720.4650534085254</v>
      </c>
      <c r="C35" s="15" t="e">
        <f>AVERAGEIF(SttcTable356[Inter-Electrode Distance],$B35,SttcTable356[STTC])</f>
        <v>#DIV/0!</v>
      </c>
      <c r="K35" s="2" t="s">
        <v>40</v>
      </c>
    </row>
    <row r="36" spans="1:11" x14ac:dyDescent="0.25">
      <c r="A36" s="15">
        <v>8.4852813742385695</v>
      </c>
      <c r="B36" s="15">
        <f t="shared" si="0"/>
        <v>1697.0562748477139</v>
      </c>
      <c r="C36" s="15" t="e">
        <f>AVERAGEIF(SttcTable356[Inter-Electrode Distance],$B36,SttcTable356[STTC])</f>
        <v>#DIV/0!</v>
      </c>
      <c r="K36" s="2" t="s">
        <v>41</v>
      </c>
    </row>
    <row r="37" spans="1:11" x14ac:dyDescent="0.25">
      <c r="A37" s="15">
        <v>9.2195444572928871</v>
      </c>
      <c r="B37" s="15">
        <f t="shared" si="0"/>
        <v>1843.9088914585775</v>
      </c>
      <c r="C37" s="15" t="e">
        <f>AVERAGEIF(SttcTable356[Inter-Electrode Distance],$B37,SttcTable356[STTC])</f>
        <v>#DIV/0!</v>
      </c>
      <c r="K37" s="2" t="s">
        <v>42</v>
      </c>
    </row>
    <row r="38" spans="1:11" x14ac:dyDescent="0.25">
      <c r="A38" s="15">
        <v>9.8994949366116654</v>
      </c>
      <c r="B38" s="15">
        <f t="shared" si="0"/>
        <v>1979.8989873223331</v>
      </c>
      <c r="C38" s="15" t="e">
        <f>AVERAGEIF(SttcTable356[Inter-Electrode Distance],$B38,SttcTable356[STTC])</f>
        <v>#DIV/0!</v>
      </c>
      <c r="K38" s="2" t="s">
        <v>43</v>
      </c>
    </row>
    <row r="39" spans="1:11" x14ac:dyDescent="0.25">
      <c r="B39"/>
      <c r="K39" s="2" t="s">
        <v>44</v>
      </c>
    </row>
    <row r="40" spans="1:11" x14ac:dyDescent="0.25">
      <c r="B40"/>
      <c r="K40" s="2" t="s">
        <v>45</v>
      </c>
    </row>
    <row r="41" spans="1:11" x14ac:dyDescent="0.25">
      <c r="B41"/>
      <c r="K41" s="2" t="s">
        <v>46</v>
      </c>
    </row>
    <row r="42" spans="1:11" x14ac:dyDescent="0.25">
      <c r="B42"/>
      <c r="K42" s="2" t="s">
        <v>47</v>
      </c>
    </row>
    <row r="43" spans="1:11" x14ac:dyDescent="0.25">
      <c r="B43"/>
      <c r="K43" s="2" t="s">
        <v>48</v>
      </c>
    </row>
    <row r="44" spans="1:11" x14ac:dyDescent="0.25">
      <c r="B44"/>
      <c r="K44" s="2" t="s">
        <v>49</v>
      </c>
    </row>
    <row r="45" spans="1:11" x14ac:dyDescent="0.25">
      <c r="B45"/>
      <c r="K45" s="2" t="s">
        <v>50</v>
      </c>
    </row>
    <row r="46" spans="1:11" x14ac:dyDescent="0.25">
      <c r="B46"/>
      <c r="K46" s="2" t="s">
        <v>51</v>
      </c>
    </row>
    <row r="47" spans="1:11" x14ac:dyDescent="0.25">
      <c r="B47"/>
      <c r="K47" s="2" t="s">
        <v>52</v>
      </c>
    </row>
    <row r="48" spans="1:11" x14ac:dyDescent="0.25">
      <c r="B48"/>
      <c r="K48" s="2" t="s">
        <v>53</v>
      </c>
    </row>
    <row r="49" spans="2:11" x14ac:dyDescent="0.25">
      <c r="B49"/>
      <c r="K49" s="2" t="s">
        <v>54</v>
      </c>
    </row>
    <row r="50" spans="2:11" x14ac:dyDescent="0.25">
      <c r="B50"/>
      <c r="K50" s="2" t="s">
        <v>55</v>
      </c>
    </row>
    <row r="51" spans="2:11" x14ac:dyDescent="0.25">
      <c r="B51"/>
      <c r="K51" s="2" t="s">
        <v>56</v>
      </c>
    </row>
    <row r="52" spans="2:11" x14ac:dyDescent="0.25">
      <c r="B52"/>
      <c r="K52" s="2" t="s">
        <v>57</v>
      </c>
    </row>
    <row r="53" spans="2:11" x14ac:dyDescent="0.25">
      <c r="B53"/>
      <c r="K53" s="2" t="s">
        <v>58</v>
      </c>
    </row>
    <row r="54" spans="2:11" x14ac:dyDescent="0.25">
      <c r="B54"/>
      <c r="K54" s="2" t="s">
        <v>59</v>
      </c>
    </row>
    <row r="55" spans="2:11" x14ac:dyDescent="0.25">
      <c r="B55"/>
      <c r="K55" s="2" t="s">
        <v>60</v>
      </c>
    </row>
    <row r="56" spans="2:11" x14ac:dyDescent="0.25">
      <c r="B56"/>
      <c r="K56" s="2" t="s">
        <v>61</v>
      </c>
    </row>
    <row r="57" spans="2:11" x14ac:dyDescent="0.25">
      <c r="B57"/>
      <c r="K57" s="2" t="s">
        <v>62</v>
      </c>
    </row>
    <row r="58" spans="2:11" x14ac:dyDescent="0.25">
      <c r="B58"/>
      <c r="K58" s="2" t="s">
        <v>63</v>
      </c>
    </row>
    <row r="59" spans="2:11" x14ac:dyDescent="0.25">
      <c r="B59"/>
      <c r="K59" s="2" t="s">
        <v>64</v>
      </c>
    </row>
    <row r="60" spans="2:11" x14ac:dyDescent="0.25">
      <c r="B60"/>
      <c r="K60" s="2" t="s">
        <v>65</v>
      </c>
    </row>
    <row r="61" spans="2:11" x14ac:dyDescent="0.25">
      <c r="B61"/>
      <c r="K61" s="2" t="s">
        <v>66</v>
      </c>
    </row>
    <row r="62" spans="2:11" x14ac:dyDescent="0.25">
      <c r="B62"/>
      <c r="K62" s="2" t="s">
        <v>67</v>
      </c>
    </row>
    <row r="63" spans="2:11" x14ac:dyDescent="0.25">
      <c r="B63"/>
      <c r="K63" s="2" t="s">
        <v>68</v>
      </c>
    </row>
    <row r="64" spans="2:11" x14ac:dyDescent="0.25">
      <c r="B64"/>
      <c r="K64" s="2" t="s">
        <v>69</v>
      </c>
    </row>
    <row r="65" spans="2:11" x14ac:dyDescent="0.25">
      <c r="B65"/>
      <c r="K65" s="2" t="s">
        <v>70</v>
      </c>
    </row>
    <row r="66" spans="2:11" x14ac:dyDescent="0.25">
      <c r="B66"/>
      <c r="K66" s="2" t="s">
        <v>71</v>
      </c>
    </row>
    <row r="67" spans="2:11" x14ac:dyDescent="0.25">
      <c r="B67"/>
      <c r="K67" s="2" t="s">
        <v>72</v>
      </c>
    </row>
    <row r="68" spans="2:11" x14ac:dyDescent="0.25">
      <c r="B68"/>
      <c r="K68" s="2" t="s">
        <v>73</v>
      </c>
    </row>
    <row r="69" spans="2:11" x14ac:dyDescent="0.25">
      <c r="B69"/>
      <c r="K69" s="2" t="s">
        <v>74</v>
      </c>
    </row>
    <row r="70" spans="2:11" x14ac:dyDescent="0.25">
      <c r="B70"/>
    </row>
    <row r="71" spans="2:11" x14ac:dyDescent="0.25">
      <c r="B71"/>
    </row>
    <row r="72" spans="2:11" x14ac:dyDescent="0.25">
      <c r="B72"/>
    </row>
    <row r="73" spans="2:11" x14ac:dyDescent="0.25">
      <c r="B73"/>
    </row>
    <row r="74" spans="2:11" x14ac:dyDescent="0.25">
      <c r="B74"/>
    </row>
    <row r="75" spans="2:11" x14ac:dyDescent="0.25">
      <c r="B75"/>
    </row>
    <row r="76" spans="2:11" x14ac:dyDescent="0.25">
      <c r="B76"/>
    </row>
    <row r="77" spans="2:11" x14ac:dyDescent="0.25">
      <c r="B77"/>
    </row>
    <row r="78" spans="2:11" x14ac:dyDescent="0.25">
      <c r="B78"/>
    </row>
    <row r="79" spans="2:11" x14ac:dyDescent="0.25">
      <c r="B79"/>
    </row>
    <row r="80" spans="2:11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</sheetData>
  <conditionalFormatting sqref="L6:BW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WriteChannelData.WriteChannelData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Contents</vt:lpstr>
      <vt:lpstr>mRGC Channels</vt:lpstr>
      <vt:lpstr>Results</vt:lpstr>
      <vt:lpstr>Control</vt:lpstr>
      <vt:lpstr>Low Meth</vt:lpstr>
      <vt:lpstr>High Meth</vt:lpstr>
      <vt:lpstr>Recovery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2015-08-19T08:45:40Z</dcterms:modified>
</cp:coreProperties>
</file>