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Programs\In_Development\MEA-Cruncher\Old_Scripts\Excel_Macros\"/>
    </mc:Choice>
  </mc:AlternateContent>
  <bookViews>
    <workbookView xWindow="-15" yWindow="-15" windowWidth="14400" windowHeight="12855" tabRatio="721" activeTab="1"/>
  </bookViews>
  <sheets>
    <sheet name="Contents" sheetId="9" r:id="rId1"/>
    <sheet name="Results" sheetId="19" r:id="rId2"/>
    <sheet name="Control" sheetId="15" r:id="rId3"/>
    <sheet name="Low Meth" sheetId="16" r:id="rId4"/>
    <sheet name="High Meth" sheetId="17" r:id="rId5"/>
    <sheet name="Recovery" sheetId="18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8" i="18" l="1"/>
  <c r="C38" i="18" s="1"/>
  <c r="B37" i="18"/>
  <c r="C37" i="18" s="1"/>
  <c r="B36" i="18"/>
  <c r="C36" i="18" s="1"/>
  <c r="B35" i="18"/>
  <c r="C35" i="18" s="1"/>
  <c r="B34" i="18"/>
  <c r="C34" i="18" s="1"/>
  <c r="B33" i="18"/>
  <c r="C33" i="18" s="1"/>
  <c r="B32" i="18"/>
  <c r="C32" i="18" s="1"/>
  <c r="B31" i="18"/>
  <c r="C31" i="18" s="1"/>
  <c r="B30" i="18"/>
  <c r="C30" i="18" s="1"/>
  <c r="B29" i="18"/>
  <c r="C29" i="18" s="1"/>
  <c r="B28" i="18"/>
  <c r="C28" i="18" s="1"/>
  <c r="B27" i="18"/>
  <c r="C27" i="18" s="1"/>
  <c r="B26" i="18"/>
  <c r="C26" i="18" s="1"/>
  <c r="B25" i="18"/>
  <c r="C25" i="18" s="1"/>
  <c r="B24" i="18"/>
  <c r="C24" i="18" s="1"/>
  <c r="B23" i="18"/>
  <c r="C23" i="18" s="1"/>
  <c r="B22" i="18"/>
  <c r="C22" i="18" s="1"/>
  <c r="B21" i="18"/>
  <c r="C21" i="18" s="1"/>
  <c r="B20" i="18"/>
  <c r="C20" i="18" s="1"/>
  <c r="B19" i="18"/>
  <c r="C19" i="18" s="1"/>
  <c r="B18" i="18"/>
  <c r="C18" i="18" s="1"/>
  <c r="B17" i="18"/>
  <c r="C17" i="18" s="1"/>
  <c r="B16" i="18"/>
  <c r="C16" i="18" s="1"/>
  <c r="B15" i="18"/>
  <c r="C15" i="18" s="1"/>
  <c r="B14" i="18"/>
  <c r="C14" i="18" s="1"/>
  <c r="B13" i="18"/>
  <c r="C13" i="18" s="1"/>
  <c r="B12" i="18"/>
  <c r="C12" i="18" s="1"/>
  <c r="B11" i="18"/>
  <c r="C11" i="18" s="1"/>
  <c r="B10" i="18"/>
  <c r="C10" i="18" s="1"/>
  <c r="B9" i="18"/>
  <c r="C9" i="18" s="1"/>
  <c r="B8" i="18"/>
  <c r="C8" i="18" s="1"/>
  <c r="B7" i="18"/>
  <c r="C7" i="18" s="1"/>
  <c r="B6" i="18"/>
  <c r="C6" i="18" s="1"/>
  <c r="B38" i="17"/>
  <c r="C38" i="17" s="1"/>
  <c r="B37" i="17"/>
  <c r="C37" i="17" s="1"/>
  <c r="B36" i="17"/>
  <c r="C36" i="17" s="1"/>
  <c r="B35" i="17"/>
  <c r="C35" i="17" s="1"/>
  <c r="B34" i="17"/>
  <c r="C34" i="17" s="1"/>
  <c r="B33" i="17"/>
  <c r="C33" i="17" s="1"/>
  <c r="B32" i="17"/>
  <c r="C32" i="17" s="1"/>
  <c r="B31" i="17"/>
  <c r="C31" i="17" s="1"/>
  <c r="B30" i="17"/>
  <c r="C30" i="17" s="1"/>
  <c r="B29" i="17"/>
  <c r="C29" i="17" s="1"/>
  <c r="B28" i="17"/>
  <c r="C28" i="17" s="1"/>
  <c r="B27" i="17"/>
  <c r="C27" i="17" s="1"/>
  <c r="B26" i="17"/>
  <c r="C26" i="17" s="1"/>
  <c r="B25" i="17"/>
  <c r="C25" i="17" s="1"/>
  <c r="B24" i="17"/>
  <c r="C24" i="17" s="1"/>
  <c r="B23" i="17"/>
  <c r="C23" i="17" s="1"/>
  <c r="B22" i="17"/>
  <c r="C22" i="17" s="1"/>
  <c r="B21" i="17"/>
  <c r="C21" i="17" s="1"/>
  <c r="B20" i="17"/>
  <c r="C20" i="17" s="1"/>
  <c r="B19" i="17"/>
  <c r="C19" i="17" s="1"/>
  <c r="B18" i="17"/>
  <c r="C18" i="17" s="1"/>
  <c r="B17" i="17"/>
  <c r="C17" i="17" s="1"/>
  <c r="B16" i="17"/>
  <c r="C16" i="17" s="1"/>
  <c r="B15" i="17"/>
  <c r="C15" i="17" s="1"/>
  <c r="B14" i="17"/>
  <c r="C14" i="17" s="1"/>
  <c r="B13" i="17"/>
  <c r="C13" i="17" s="1"/>
  <c r="B12" i="17"/>
  <c r="C12" i="17" s="1"/>
  <c r="B11" i="17"/>
  <c r="C11" i="17" s="1"/>
  <c r="B10" i="17"/>
  <c r="C10" i="17" s="1"/>
  <c r="B9" i="17"/>
  <c r="C9" i="17" s="1"/>
  <c r="B8" i="17"/>
  <c r="C8" i="17" s="1"/>
  <c r="B7" i="17"/>
  <c r="C7" i="17" s="1"/>
  <c r="B6" i="17"/>
  <c r="C6" i="17" s="1"/>
  <c r="B38" i="16"/>
  <c r="C38" i="16" s="1"/>
  <c r="B37" i="16"/>
  <c r="C37" i="16" s="1"/>
  <c r="B36" i="16"/>
  <c r="C36" i="16" s="1"/>
  <c r="B35" i="16"/>
  <c r="C35" i="16" s="1"/>
  <c r="B34" i="16"/>
  <c r="C34" i="16" s="1"/>
  <c r="B33" i="16"/>
  <c r="C33" i="16" s="1"/>
  <c r="B32" i="16"/>
  <c r="C32" i="16" s="1"/>
  <c r="B31" i="16"/>
  <c r="C31" i="16" s="1"/>
  <c r="B30" i="16"/>
  <c r="C30" i="16" s="1"/>
  <c r="B29" i="16"/>
  <c r="C29" i="16" s="1"/>
  <c r="B28" i="16"/>
  <c r="C28" i="16" s="1"/>
  <c r="B27" i="16"/>
  <c r="C27" i="16" s="1"/>
  <c r="B26" i="16"/>
  <c r="C26" i="16" s="1"/>
  <c r="B25" i="16"/>
  <c r="C25" i="16" s="1"/>
  <c r="B24" i="16"/>
  <c r="C24" i="16" s="1"/>
  <c r="B23" i="16"/>
  <c r="C23" i="16" s="1"/>
  <c r="B22" i="16"/>
  <c r="C22" i="16" s="1"/>
  <c r="B21" i="16"/>
  <c r="C21" i="16" s="1"/>
  <c r="B20" i="16"/>
  <c r="C20" i="16" s="1"/>
  <c r="B19" i="16"/>
  <c r="C19" i="16" s="1"/>
  <c r="B18" i="16"/>
  <c r="C18" i="16" s="1"/>
  <c r="B17" i="16"/>
  <c r="C17" i="16" s="1"/>
  <c r="B16" i="16"/>
  <c r="C16" i="16" s="1"/>
  <c r="B15" i="16"/>
  <c r="C15" i="16" s="1"/>
  <c r="B14" i="16"/>
  <c r="C14" i="16" s="1"/>
  <c r="B13" i="16"/>
  <c r="C13" i="16" s="1"/>
  <c r="B12" i="16"/>
  <c r="C12" i="16" s="1"/>
  <c r="B11" i="16"/>
  <c r="C11" i="16" s="1"/>
  <c r="B10" i="16"/>
  <c r="C10" i="16" s="1"/>
  <c r="B9" i="16"/>
  <c r="C9" i="16" s="1"/>
  <c r="B8" i="16"/>
  <c r="C8" i="16" s="1"/>
  <c r="B7" i="16"/>
  <c r="C7" i="16" s="1"/>
  <c r="B6" i="16"/>
  <c r="C6" i="16" s="1"/>
  <c r="B7" i="15" l="1"/>
  <c r="C7" i="15" s="1"/>
  <c r="B8" i="15"/>
  <c r="C8" i="15" s="1"/>
  <c r="B9" i="15"/>
  <c r="C9" i="15" s="1"/>
  <c r="B10" i="15"/>
  <c r="C10" i="15" s="1"/>
  <c r="B11" i="15"/>
  <c r="C11" i="15" s="1"/>
  <c r="B12" i="15"/>
  <c r="C12" i="15" s="1"/>
  <c r="B13" i="15"/>
  <c r="C13" i="15" s="1"/>
  <c r="B14" i="15"/>
  <c r="C14" i="15" s="1"/>
  <c r="B15" i="15"/>
  <c r="C15" i="15" s="1"/>
  <c r="B16" i="15"/>
  <c r="C16" i="15" s="1"/>
  <c r="B17" i="15"/>
  <c r="C17" i="15" s="1"/>
  <c r="B18" i="15"/>
  <c r="C18" i="15" s="1"/>
  <c r="B19" i="15"/>
  <c r="C19" i="15" s="1"/>
  <c r="B20" i="15"/>
  <c r="C20" i="15" s="1"/>
  <c r="B21" i="15"/>
  <c r="C21" i="15" s="1"/>
  <c r="B22" i="15"/>
  <c r="C22" i="15" s="1"/>
  <c r="B23" i="15"/>
  <c r="C23" i="15" s="1"/>
  <c r="B24" i="15"/>
  <c r="C24" i="15" s="1"/>
  <c r="B25" i="15"/>
  <c r="C25" i="15" s="1"/>
  <c r="B26" i="15"/>
  <c r="C26" i="15" s="1"/>
  <c r="B27" i="15"/>
  <c r="C27" i="15" s="1"/>
  <c r="B28" i="15"/>
  <c r="C28" i="15" s="1"/>
  <c r="B29" i="15"/>
  <c r="C29" i="15" s="1"/>
  <c r="B30" i="15"/>
  <c r="C30" i="15" s="1"/>
  <c r="B31" i="15"/>
  <c r="C31" i="15" s="1"/>
  <c r="B32" i="15"/>
  <c r="C32" i="15" s="1"/>
  <c r="B33" i="15"/>
  <c r="C33" i="15" s="1"/>
  <c r="B34" i="15"/>
  <c r="C34" i="15" s="1"/>
  <c r="B35" i="15"/>
  <c r="C35" i="15" s="1"/>
  <c r="B36" i="15"/>
  <c r="C36" i="15" s="1"/>
  <c r="B37" i="15"/>
  <c r="C37" i="15" s="1"/>
  <c r="B38" i="15"/>
  <c r="C38" i="15" s="1"/>
  <c r="B6" i="15"/>
  <c r="C6" i="15" s="1"/>
</calcChain>
</file>

<file path=xl/sharedStrings.xml><?xml version="1.0" encoding="utf-8"?>
<sst xmlns="http://schemas.openxmlformats.org/spreadsheetml/2006/main" count="553" uniqueCount="78">
  <si>
    <t>Retina</t>
  </si>
  <si>
    <t>Recovery</t>
  </si>
  <si>
    <t>STTC</t>
  </si>
  <si>
    <t>Inter-Electrode Distance</t>
  </si>
  <si>
    <t>Electrode_2</t>
  </si>
  <si>
    <t>Electrode_1</t>
  </si>
  <si>
    <t>adch_11</t>
  </si>
  <si>
    <t>adch_12</t>
  </si>
  <si>
    <t>adch_13</t>
  </si>
  <si>
    <t>adch_14</t>
  </si>
  <si>
    <t>adch_15</t>
  </si>
  <si>
    <t>adch_16</t>
  </si>
  <si>
    <t>adch_17</t>
  </si>
  <si>
    <t>adch_18</t>
  </si>
  <si>
    <t>adch_21</t>
  </si>
  <si>
    <t>adch_22</t>
  </si>
  <si>
    <t>adch_23</t>
  </si>
  <si>
    <t>adch_24</t>
  </si>
  <si>
    <t>adch_25</t>
  </si>
  <si>
    <t>adch_26</t>
  </si>
  <si>
    <t>adch_27</t>
  </si>
  <si>
    <t>adch_28</t>
  </si>
  <si>
    <t>adch_31</t>
  </si>
  <si>
    <t>adch_32</t>
  </si>
  <si>
    <t>adch_33</t>
  </si>
  <si>
    <t>adch_34</t>
  </si>
  <si>
    <t>adch_35</t>
  </si>
  <si>
    <t>adch_36</t>
  </si>
  <si>
    <t>adch_37</t>
  </si>
  <si>
    <t>adch_38</t>
  </si>
  <si>
    <t>adch_41</t>
  </si>
  <si>
    <t>adch_42</t>
  </si>
  <si>
    <t>adch_43</t>
  </si>
  <si>
    <t>adch_44</t>
  </si>
  <si>
    <t>adch_45</t>
  </si>
  <si>
    <t>adch_46</t>
  </si>
  <si>
    <t>adch_47</t>
  </si>
  <si>
    <t>adch_48</t>
  </si>
  <si>
    <t>adch_51</t>
  </si>
  <si>
    <t>adch_52</t>
  </si>
  <si>
    <t>adch_53</t>
  </si>
  <si>
    <t>adch_54</t>
  </si>
  <si>
    <t>adch_55</t>
  </si>
  <si>
    <t>adch_56</t>
  </si>
  <si>
    <t>adch_57</t>
  </si>
  <si>
    <t>adch_58</t>
  </si>
  <si>
    <t>adch_61</t>
  </si>
  <si>
    <t>adch_62</t>
  </si>
  <si>
    <t>adch_63</t>
  </si>
  <si>
    <t>adch_64</t>
  </si>
  <si>
    <t>adch_65</t>
  </si>
  <si>
    <t>adch_66</t>
  </si>
  <si>
    <t>adch_67</t>
  </si>
  <si>
    <t>adch_68</t>
  </si>
  <si>
    <t>adch_71</t>
  </si>
  <si>
    <t>adch_72</t>
  </si>
  <si>
    <t>adch_73</t>
  </si>
  <si>
    <t>adch_74</t>
  </si>
  <si>
    <t>adch_75</t>
  </si>
  <si>
    <t>adch_76</t>
  </si>
  <si>
    <t>adch_77</t>
  </si>
  <si>
    <t>adch_78</t>
  </si>
  <si>
    <t>adch_81</t>
  </si>
  <si>
    <t>adch_82</t>
  </si>
  <si>
    <t>adch_83</t>
  </si>
  <si>
    <t>adch_84</t>
  </si>
  <si>
    <t>adch_85</t>
  </si>
  <si>
    <t>adch_86</t>
  </si>
  <si>
    <t>adch_87</t>
  </si>
  <si>
    <t>adch_88</t>
  </si>
  <si>
    <t>Paste STTC-values for each electrode-pair below</t>
  </si>
  <si>
    <t>Distance</t>
  </si>
  <si>
    <t>Mean STTC</t>
  </si>
  <si>
    <t>Low Meth</t>
  </si>
  <si>
    <t>High Meth</t>
  </si>
  <si>
    <t>Control</t>
  </si>
  <si>
    <t>Unit Distance</t>
  </si>
  <si>
    <r>
      <t>Inter-electrode Distance (</t>
    </r>
    <r>
      <rPr>
        <b/>
        <sz val="11"/>
        <color theme="1"/>
        <rFont val="Calibri"/>
        <family val="2"/>
      </rPr>
      <t>µm)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</si>
</sst>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31"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Mean STTC vs. Inter-Electrode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Control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Control!$B$6:$B$38</c:f>
              <c:numCache>
                <c:formatCode>0.000</c:formatCode>
                <c:ptCount val="3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282.84271247461902</c:v>
                </c:pt>
                <c:pt idx="8">
                  <c:v>447.21359549995793</c:v>
                </c:pt>
                <c:pt idx="9">
                  <c:v>632.45553203367592</c:v>
                </c:pt>
                <c:pt idx="10">
                  <c:v>824.62112512353212</c:v>
                </c:pt>
                <c:pt idx="11">
                  <c:v>1019.8039027185569</c:v>
                </c:pt>
                <c:pt idx="12">
                  <c:v>1216.552506059644</c:v>
                </c:pt>
                <c:pt idx="13">
                  <c:v>1414.2135623730951</c:v>
                </c:pt>
                <c:pt idx="14">
                  <c:v>565.68542494923804</c:v>
                </c:pt>
                <c:pt idx="15">
                  <c:v>721.11025509279784</c:v>
                </c:pt>
                <c:pt idx="16">
                  <c:v>894.42719099991587</c:v>
                </c:pt>
                <c:pt idx="17">
                  <c:v>1077.0329614269008</c:v>
                </c:pt>
                <c:pt idx="18">
                  <c:v>1264.9110640673518</c:v>
                </c:pt>
                <c:pt idx="19">
                  <c:v>1456.0219778561036</c:v>
                </c:pt>
                <c:pt idx="20">
                  <c:v>848.52813742385695</c:v>
                </c:pt>
                <c:pt idx="21">
                  <c:v>1166.1903789690602</c:v>
                </c:pt>
                <c:pt idx="22">
                  <c:v>1341.6407864998739</c:v>
                </c:pt>
                <c:pt idx="23">
                  <c:v>1523.1546211727818</c:v>
                </c:pt>
                <c:pt idx="24">
                  <c:v>1131.3708498984761</c:v>
                </c:pt>
                <c:pt idx="25">
                  <c:v>1280.6248474865697</c:v>
                </c:pt>
                <c:pt idx="26">
                  <c:v>1442.2205101855957</c:v>
                </c:pt>
                <c:pt idx="27">
                  <c:v>1612.4515496597098</c:v>
                </c:pt>
                <c:pt idx="28">
                  <c:v>1562.0499351813307</c:v>
                </c:pt>
                <c:pt idx="29">
                  <c:v>1720.4650534085254</c:v>
                </c:pt>
                <c:pt idx="30">
                  <c:v>1697.0562748477139</c:v>
                </c:pt>
                <c:pt idx="31">
                  <c:v>1843.9088914585775</c:v>
                </c:pt>
                <c:pt idx="32">
                  <c:v>1979.8989873223331</c:v>
                </c:pt>
              </c:numCache>
            </c:numRef>
          </c:xVal>
          <c:yVal>
            <c:numRef>
              <c:f>Control!$C$6:$C$38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LowMeth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'Low Meth'!$B$6:$B$38</c:f>
              <c:numCache>
                <c:formatCode>0.000</c:formatCode>
                <c:ptCount val="3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282.84271247461902</c:v>
                </c:pt>
                <c:pt idx="8">
                  <c:v>447.21359549995793</c:v>
                </c:pt>
                <c:pt idx="9">
                  <c:v>632.45553203367592</c:v>
                </c:pt>
                <c:pt idx="10">
                  <c:v>824.62112512353212</c:v>
                </c:pt>
                <c:pt idx="11">
                  <c:v>1019.8039027185569</c:v>
                </c:pt>
                <c:pt idx="12">
                  <c:v>1216.552506059644</c:v>
                </c:pt>
                <c:pt idx="13">
                  <c:v>1414.2135623730951</c:v>
                </c:pt>
                <c:pt idx="14">
                  <c:v>565.68542494923804</c:v>
                </c:pt>
                <c:pt idx="15">
                  <c:v>721.11025509279784</c:v>
                </c:pt>
                <c:pt idx="16">
                  <c:v>894.42719099991587</c:v>
                </c:pt>
                <c:pt idx="17">
                  <c:v>1077.0329614269008</c:v>
                </c:pt>
                <c:pt idx="18">
                  <c:v>1264.9110640673518</c:v>
                </c:pt>
                <c:pt idx="19">
                  <c:v>1456.0219778561036</c:v>
                </c:pt>
                <c:pt idx="20">
                  <c:v>848.52813742385695</c:v>
                </c:pt>
                <c:pt idx="21">
                  <c:v>1166.1903789690602</c:v>
                </c:pt>
                <c:pt idx="22">
                  <c:v>1341.6407864998739</c:v>
                </c:pt>
                <c:pt idx="23">
                  <c:v>1523.1546211727818</c:v>
                </c:pt>
                <c:pt idx="24">
                  <c:v>1131.3708498984761</c:v>
                </c:pt>
                <c:pt idx="25">
                  <c:v>1280.6248474865697</c:v>
                </c:pt>
                <c:pt idx="26">
                  <c:v>1442.2205101855957</c:v>
                </c:pt>
                <c:pt idx="27">
                  <c:v>1612.4515496597098</c:v>
                </c:pt>
                <c:pt idx="28">
                  <c:v>1562.0499351813307</c:v>
                </c:pt>
                <c:pt idx="29">
                  <c:v>1720.4650534085254</c:v>
                </c:pt>
                <c:pt idx="30">
                  <c:v>1697.0562748477139</c:v>
                </c:pt>
                <c:pt idx="31">
                  <c:v>1843.9088914585775</c:v>
                </c:pt>
                <c:pt idx="32">
                  <c:v>1979.8989873223331</c:v>
                </c:pt>
              </c:numCache>
            </c:numRef>
          </c:xVal>
          <c:yVal>
            <c:numRef>
              <c:f>'Low Meth'!$C$6:$C$38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HighMeth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'High Meth'!$B$6:$B$38</c:f>
              <c:numCache>
                <c:formatCode>0.000</c:formatCode>
                <c:ptCount val="3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282.84271247461902</c:v>
                </c:pt>
                <c:pt idx="8">
                  <c:v>447.21359549995793</c:v>
                </c:pt>
                <c:pt idx="9">
                  <c:v>632.45553203367592</c:v>
                </c:pt>
                <c:pt idx="10">
                  <c:v>824.62112512353212</c:v>
                </c:pt>
                <c:pt idx="11">
                  <c:v>1019.8039027185569</c:v>
                </c:pt>
                <c:pt idx="12">
                  <c:v>1216.552506059644</c:v>
                </c:pt>
                <c:pt idx="13">
                  <c:v>1414.2135623730951</c:v>
                </c:pt>
                <c:pt idx="14">
                  <c:v>565.68542494923804</c:v>
                </c:pt>
                <c:pt idx="15">
                  <c:v>721.11025509279784</c:v>
                </c:pt>
                <c:pt idx="16">
                  <c:v>894.42719099991587</c:v>
                </c:pt>
                <c:pt idx="17">
                  <c:v>1077.0329614269008</c:v>
                </c:pt>
                <c:pt idx="18">
                  <c:v>1264.9110640673518</c:v>
                </c:pt>
                <c:pt idx="19">
                  <c:v>1456.0219778561036</c:v>
                </c:pt>
                <c:pt idx="20">
                  <c:v>848.52813742385695</c:v>
                </c:pt>
                <c:pt idx="21">
                  <c:v>1166.1903789690602</c:v>
                </c:pt>
                <c:pt idx="22">
                  <c:v>1341.6407864998739</c:v>
                </c:pt>
                <c:pt idx="23">
                  <c:v>1523.1546211727818</c:v>
                </c:pt>
                <c:pt idx="24">
                  <c:v>1131.3708498984761</c:v>
                </c:pt>
                <c:pt idx="25">
                  <c:v>1280.6248474865697</c:v>
                </c:pt>
                <c:pt idx="26">
                  <c:v>1442.2205101855957</c:v>
                </c:pt>
                <c:pt idx="27">
                  <c:v>1612.4515496597098</c:v>
                </c:pt>
                <c:pt idx="28">
                  <c:v>1562.0499351813307</c:v>
                </c:pt>
                <c:pt idx="29">
                  <c:v>1720.4650534085254</c:v>
                </c:pt>
                <c:pt idx="30">
                  <c:v>1697.0562748477139</c:v>
                </c:pt>
                <c:pt idx="31">
                  <c:v>1843.9088914585775</c:v>
                </c:pt>
                <c:pt idx="32">
                  <c:v>1979.8989873223331</c:v>
                </c:pt>
              </c:numCache>
            </c:numRef>
          </c:xVal>
          <c:yVal>
            <c:numRef>
              <c:f>'High Meth'!$C$6:$C$38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Recovery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Recovery!$B$6:$B$38</c:f>
              <c:numCache>
                <c:formatCode>0.000</c:formatCode>
                <c:ptCount val="3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282.84271247461902</c:v>
                </c:pt>
                <c:pt idx="8">
                  <c:v>447.21359549995793</c:v>
                </c:pt>
                <c:pt idx="9">
                  <c:v>632.45553203367592</c:v>
                </c:pt>
                <c:pt idx="10">
                  <c:v>824.62112512353212</c:v>
                </c:pt>
                <c:pt idx="11">
                  <c:v>1019.8039027185569</c:v>
                </c:pt>
                <c:pt idx="12">
                  <c:v>1216.552506059644</c:v>
                </c:pt>
                <c:pt idx="13">
                  <c:v>1414.2135623730951</c:v>
                </c:pt>
                <c:pt idx="14">
                  <c:v>565.68542494923804</c:v>
                </c:pt>
                <c:pt idx="15">
                  <c:v>721.11025509279784</c:v>
                </c:pt>
                <c:pt idx="16">
                  <c:v>894.42719099991587</c:v>
                </c:pt>
                <c:pt idx="17">
                  <c:v>1077.0329614269008</c:v>
                </c:pt>
                <c:pt idx="18">
                  <c:v>1264.9110640673518</c:v>
                </c:pt>
                <c:pt idx="19">
                  <c:v>1456.0219778561036</c:v>
                </c:pt>
                <c:pt idx="20">
                  <c:v>848.52813742385695</c:v>
                </c:pt>
                <c:pt idx="21">
                  <c:v>1166.1903789690602</c:v>
                </c:pt>
                <c:pt idx="22">
                  <c:v>1341.6407864998739</c:v>
                </c:pt>
                <c:pt idx="23">
                  <c:v>1523.1546211727818</c:v>
                </c:pt>
                <c:pt idx="24">
                  <c:v>1131.3708498984761</c:v>
                </c:pt>
                <c:pt idx="25">
                  <c:v>1280.6248474865697</c:v>
                </c:pt>
                <c:pt idx="26">
                  <c:v>1442.2205101855957</c:v>
                </c:pt>
                <c:pt idx="27">
                  <c:v>1612.4515496597098</c:v>
                </c:pt>
                <c:pt idx="28">
                  <c:v>1562.0499351813307</c:v>
                </c:pt>
                <c:pt idx="29">
                  <c:v>1720.4650534085254</c:v>
                </c:pt>
                <c:pt idx="30">
                  <c:v>1697.0562748477139</c:v>
                </c:pt>
                <c:pt idx="31">
                  <c:v>1843.9088914585775</c:v>
                </c:pt>
                <c:pt idx="32">
                  <c:v>1979.8989873223331</c:v>
                </c:pt>
              </c:numCache>
            </c:numRef>
          </c:xVal>
          <c:yVal>
            <c:numRef>
              <c:f>Recovery!$C$6:$C$38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475072"/>
        <c:axId val="-2022472352"/>
      </c:scatterChart>
      <c:valAx>
        <c:axId val="-2022475072"/>
        <c:scaling>
          <c:orientation val="minMax"/>
        </c:scaling>
        <c:delete val="0"/>
        <c:axPos val="b"/>
        <c:title>
          <c:tx>
            <c:strRef>
              <c:f>Control!$B$5</c:f>
              <c:strCache>
                <c:ptCount val="1"/>
                <c:pt idx="0">
                  <c:v>Distance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2472352"/>
        <c:crossesAt val="-0.1"/>
        <c:crossBetween val="midCat"/>
      </c:valAx>
      <c:valAx>
        <c:axId val="-2022472352"/>
        <c:scaling>
          <c:orientation val="minMax"/>
        </c:scaling>
        <c:delete val="0"/>
        <c:axPos val="l"/>
        <c:title>
          <c:tx>
            <c:strRef>
              <c:f>Control!$C$5</c:f>
              <c:strCache>
                <c:ptCount val="1"/>
                <c:pt idx="0">
                  <c:v>STTC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2475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2</xdr:row>
      <xdr:rowOff>9525</xdr:rowOff>
    </xdr:from>
    <xdr:to>
      <xdr:col>12</xdr:col>
      <xdr:colOff>114300</xdr:colOff>
      <xdr:row>22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0</xdr:row>
          <xdr:rowOff>190500</xdr:rowOff>
        </xdr:from>
        <xdr:to>
          <xdr:col>8</xdr:col>
          <xdr:colOff>0</xdr:colOff>
          <xdr:row>2</xdr:row>
          <xdr:rowOff>238125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Electrode Names, Distances, and STTC-values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Electrode Names, Distances, and STTC-values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Electrode Names, Distances, and STTC-values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Electrode Names, Distances, and STTC-values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E7" totalsRowShown="0" headerRowDxfId="30" dataDxfId="29">
  <autoFilter ref="A1:E7"/>
  <tableColumns count="5">
    <tableColumn id="1" name="Retina" dataDxfId="28"/>
    <tableColumn id="5" name="Control" dataDxfId="27"/>
    <tableColumn id="6" name="Low Meth" dataDxfId="26"/>
    <tableColumn id="7" name="High Meth" dataDxfId="25"/>
    <tableColumn id="2" name="Recovery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SttcTable" displayName="SttcTable" ref="F5:I6" insertRow="1" totalsRowShown="0" headerRowDxfId="23" dataDxfId="22">
  <autoFilter ref="F5:I6"/>
  <tableColumns count="4">
    <tableColumn id="1" name="Electrode_1" dataDxfId="21"/>
    <tableColumn id="2" name="Electrode_2" dataDxfId="20"/>
    <tableColumn id="3" name="Inter-Electrode Distance" dataDxfId="19"/>
    <tableColumn id="4" name="STTC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SttcTable3" displayName="SttcTable3" ref="F5:I6" insertRow="1" totalsRowShown="0" headerRowDxfId="17" dataDxfId="16">
  <autoFilter ref="F5:I6"/>
  <tableColumns count="4">
    <tableColumn id="1" name="Electrode_1" dataDxfId="15"/>
    <tableColumn id="2" name="Electrode_2" dataDxfId="14"/>
    <tableColumn id="3" name="Inter-Electrode Distance" dataDxfId="13"/>
    <tableColumn id="4" name="STTC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SttcTable35" displayName="SttcTable35" ref="F5:I6" insertRow="1" totalsRowShown="0" headerRowDxfId="11" dataDxfId="10">
  <autoFilter ref="F5:I6"/>
  <tableColumns count="4">
    <tableColumn id="1" name="Electrode_1" dataDxfId="9"/>
    <tableColumn id="2" name="Electrode_2" dataDxfId="8"/>
    <tableColumn id="3" name="Inter-Electrode Distance" dataDxfId="7"/>
    <tableColumn id="4" name="STTC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SttcTable356" displayName="SttcTable356" ref="F5:I6" insertRow="1" totalsRowShown="0" headerRowDxfId="5" dataDxfId="4">
  <autoFilter ref="F5:I6"/>
  <tableColumns count="4">
    <tableColumn id="1" name="Electrode_1" dataDxfId="3"/>
    <tableColumn id="2" name="Electrode_2" dataDxfId="2"/>
    <tableColumn id="3" name="Inter-Electrode Distance" dataDxfId="1"/>
    <tableColumn id="4" name="STT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7"/>
  <sheetViews>
    <sheetView workbookViewId="0">
      <selection activeCell="B2" sqref="B2"/>
    </sheetView>
  </sheetViews>
  <sheetFormatPr defaultRowHeight="15" x14ac:dyDescent="0.25"/>
  <cols>
    <col min="1" max="1" width="11.28515625" style="1" bestFit="1" customWidth="1"/>
    <col min="2" max="4" width="27.85546875" style="1" bestFit="1" customWidth="1"/>
    <col min="5" max="5" width="23.5703125" style="1" customWidth="1"/>
    <col min="6" max="16384" width="9.140625" style="1"/>
  </cols>
  <sheetData>
    <row r="1" spans="1:5" x14ac:dyDescent="0.25">
      <c r="A1" s="1" t="s">
        <v>0</v>
      </c>
      <c r="B1" s="1" t="s">
        <v>75</v>
      </c>
      <c r="C1" s="1" t="s">
        <v>73</v>
      </c>
      <c r="D1" s="1" t="s">
        <v>74</v>
      </c>
      <c r="E1" s="1" t="s">
        <v>1</v>
      </c>
    </row>
    <row r="2" spans="1:5" x14ac:dyDescent="0.25">
      <c r="A2" s="1">
        <v>1</v>
      </c>
    </row>
    <row r="3" spans="1:5" x14ac:dyDescent="0.25">
      <c r="A3" s="1">
        <v>2</v>
      </c>
    </row>
    <row r="4" spans="1:5" x14ac:dyDescent="0.25">
      <c r="A4" s="1">
        <v>3</v>
      </c>
    </row>
    <row r="5" spans="1:5" x14ac:dyDescent="0.25">
      <c r="A5" s="1">
        <v>4</v>
      </c>
    </row>
    <row r="6" spans="1:5" x14ac:dyDescent="0.25">
      <c r="A6" s="1">
        <v>5</v>
      </c>
    </row>
    <row r="7" spans="1:5" x14ac:dyDescent="0.25">
      <c r="A7" s="1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W2021"/>
  <sheetViews>
    <sheetView zoomScaleNormal="100" workbookViewId="0">
      <selection activeCell="L6" sqref="L6"/>
    </sheetView>
  </sheetViews>
  <sheetFormatPr defaultRowHeight="15" x14ac:dyDescent="0.25"/>
  <cols>
    <col min="1" max="1" width="12.7109375" style="1" bestFit="1" customWidth="1"/>
    <col min="2" max="2" width="9.140625" style="1"/>
    <col min="3" max="3" width="10.5703125" style="1" bestFit="1" customWidth="1"/>
    <col min="4" max="5" width="9.140625" style="1"/>
    <col min="6" max="7" width="16" style="1" bestFit="1" customWidth="1"/>
    <col min="8" max="8" width="27.42578125" style="1" bestFit="1" customWidth="1"/>
    <col min="9" max="9" width="9.7109375" style="1" bestFit="1" customWidth="1"/>
    <col min="10" max="16384" width="9.140625" style="1"/>
  </cols>
  <sheetData>
    <row r="1" spans="1:75" x14ac:dyDescent="0.25">
      <c r="A1" s="6" t="s">
        <v>77</v>
      </c>
    </row>
    <row r="2" spans="1:75" x14ac:dyDescent="0.25">
      <c r="A2" s="1">
        <v>200</v>
      </c>
    </row>
    <row r="3" spans="1:75" ht="18.75" x14ac:dyDescent="0.25">
      <c r="L3" s="5" t="s">
        <v>70</v>
      </c>
    </row>
    <row r="5" spans="1:75" x14ac:dyDescent="0.25">
      <c r="A5" s="2" t="s">
        <v>76</v>
      </c>
      <c r="B5" s="2" t="s">
        <v>71</v>
      </c>
      <c r="C5" s="2" t="s">
        <v>2</v>
      </c>
      <c r="F5" s="2" t="s">
        <v>5</v>
      </c>
      <c r="G5" s="2" t="s">
        <v>4</v>
      </c>
      <c r="H5" s="1" t="s">
        <v>3</v>
      </c>
      <c r="I5" s="1" t="s">
        <v>2</v>
      </c>
      <c r="L5" s="2" t="s">
        <v>6</v>
      </c>
      <c r="M5" s="2" t="s">
        <v>7</v>
      </c>
      <c r="N5" s="2" t="s">
        <v>8</v>
      </c>
      <c r="O5" s="2" t="s">
        <v>9</v>
      </c>
      <c r="P5" s="2" t="s">
        <v>10</v>
      </c>
      <c r="Q5" s="2" t="s">
        <v>11</v>
      </c>
      <c r="R5" s="2" t="s">
        <v>12</v>
      </c>
      <c r="S5" s="2" t="s">
        <v>13</v>
      </c>
      <c r="T5" s="2" t="s">
        <v>14</v>
      </c>
      <c r="U5" s="2" t="s">
        <v>15</v>
      </c>
      <c r="V5" s="2" t="s">
        <v>16</v>
      </c>
      <c r="W5" s="2" t="s">
        <v>17</v>
      </c>
      <c r="X5" s="2" t="s">
        <v>18</v>
      </c>
      <c r="Y5" s="2" t="s">
        <v>19</v>
      </c>
      <c r="Z5" s="2" t="s">
        <v>20</v>
      </c>
      <c r="AA5" s="2" t="s">
        <v>21</v>
      </c>
      <c r="AB5" s="2" t="s">
        <v>22</v>
      </c>
      <c r="AC5" s="2" t="s">
        <v>23</v>
      </c>
      <c r="AD5" s="2" t="s">
        <v>24</v>
      </c>
      <c r="AE5" s="2" t="s">
        <v>25</v>
      </c>
      <c r="AF5" s="2" t="s">
        <v>26</v>
      </c>
      <c r="AG5" s="2" t="s">
        <v>27</v>
      </c>
      <c r="AH5" s="2" t="s">
        <v>28</v>
      </c>
      <c r="AI5" s="2" t="s">
        <v>29</v>
      </c>
      <c r="AJ5" s="2" t="s">
        <v>30</v>
      </c>
      <c r="AK5" s="2" t="s">
        <v>31</v>
      </c>
      <c r="AL5" s="2" t="s">
        <v>32</v>
      </c>
      <c r="AM5" s="2" t="s">
        <v>33</v>
      </c>
      <c r="AN5" s="2" t="s">
        <v>34</v>
      </c>
      <c r="AO5" s="2" t="s">
        <v>35</v>
      </c>
      <c r="AP5" s="2" t="s">
        <v>36</v>
      </c>
      <c r="AQ5" s="2" t="s">
        <v>37</v>
      </c>
      <c r="AR5" s="2" t="s">
        <v>38</v>
      </c>
      <c r="AS5" s="2" t="s">
        <v>39</v>
      </c>
      <c r="AT5" s="2" t="s">
        <v>40</v>
      </c>
      <c r="AU5" s="2" t="s">
        <v>41</v>
      </c>
      <c r="AV5" s="2" t="s">
        <v>42</v>
      </c>
      <c r="AW5" s="2" t="s">
        <v>43</v>
      </c>
      <c r="AX5" s="2" t="s">
        <v>44</v>
      </c>
      <c r="AY5" s="2" t="s">
        <v>45</v>
      </c>
      <c r="AZ5" s="2" t="s">
        <v>46</v>
      </c>
      <c r="BA5" s="2" t="s">
        <v>47</v>
      </c>
      <c r="BB5" s="2" t="s">
        <v>48</v>
      </c>
      <c r="BC5" s="2" t="s">
        <v>49</v>
      </c>
      <c r="BD5" s="2" t="s">
        <v>50</v>
      </c>
      <c r="BE5" s="2" t="s">
        <v>51</v>
      </c>
      <c r="BF5" s="2" t="s">
        <v>52</v>
      </c>
      <c r="BG5" s="2" t="s">
        <v>53</v>
      </c>
      <c r="BH5" s="2" t="s">
        <v>54</v>
      </c>
      <c r="BI5" s="2" t="s">
        <v>55</v>
      </c>
      <c r="BJ5" s="2" t="s">
        <v>56</v>
      </c>
      <c r="BK5" s="2" t="s">
        <v>57</v>
      </c>
      <c r="BL5" s="2" t="s">
        <v>58</v>
      </c>
      <c r="BM5" s="2" t="s">
        <v>59</v>
      </c>
      <c r="BN5" s="2" t="s">
        <v>60</v>
      </c>
      <c r="BO5" s="2" t="s">
        <v>61</v>
      </c>
      <c r="BP5" s="2" t="s">
        <v>62</v>
      </c>
      <c r="BQ5" s="2" t="s">
        <v>63</v>
      </c>
      <c r="BR5" s="2" t="s">
        <v>64</v>
      </c>
      <c r="BS5" s="2" t="s">
        <v>65</v>
      </c>
      <c r="BT5" s="2" t="s">
        <v>66</v>
      </c>
      <c r="BU5" s="2" t="s">
        <v>67</v>
      </c>
      <c r="BV5" s="2" t="s">
        <v>68</v>
      </c>
      <c r="BW5" s="2" t="s">
        <v>69</v>
      </c>
    </row>
    <row r="6" spans="1:75" x14ac:dyDescent="0.25">
      <c r="A6" s="4">
        <v>1</v>
      </c>
      <c r="B6" s="4">
        <f t="shared" ref="B6:B38" si="0">$A6*$A$2</f>
        <v>200</v>
      </c>
      <c r="C6" s="4" t="e">
        <f>AVERAGEIF(SttcTable[Inter-Electrode Distance],$B6,SttcTable[STTC])</f>
        <v>#DIV/0!</v>
      </c>
      <c r="F6" s="3"/>
      <c r="G6" s="3"/>
      <c r="H6" s="4"/>
      <c r="I6" s="4"/>
      <c r="K6" s="2" t="s">
        <v>6</v>
      </c>
    </row>
    <row r="7" spans="1:75" x14ac:dyDescent="0.25">
      <c r="A7" s="4">
        <v>2</v>
      </c>
      <c r="B7" s="4">
        <f t="shared" si="0"/>
        <v>400</v>
      </c>
      <c r="C7" s="4" t="e">
        <f>AVERAGEIF(SttcTable[Inter-Electrode Distance],$B7,SttcTable[STTC])</f>
        <v>#DIV/0!</v>
      </c>
      <c r="K7" s="2" t="s">
        <v>7</v>
      </c>
    </row>
    <row r="8" spans="1:75" x14ac:dyDescent="0.25">
      <c r="A8" s="4">
        <v>3</v>
      </c>
      <c r="B8" s="4">
        <f t="shared" si="0"/>
        <v>600</v>
      </c>
      <c r="C8" s="4" t="e">
        <f>AVERAGEIF(SttcTable[Inter-Electrode Distance],$B8,SttcTable[STTC])</f>
        <v>#DIV/0!</v>
      </c>
      <c r="K8" s="2" t="s">
        <v>8</v>
      </c>
    </row>
    <row r="9" spans="1:75" x14ac:dyDescent="0.25">
      <c r="A9" s="4">
        <v>4</v>
      </c>
      <c r="B9" s="4">
        <f t="shared" si="0"/>
        <v>800</v>
      </c>
      <c r="C9" s="4" t="e">
        <f>AVERAGEIF(SttcTable[Inter-Electrode Distance],$B9,SttcTable[STTC])</f>
        <v>#DIV/0!</v>
      </c>
      <c r="K9" s="2" t="s">
        <v>9</v>
      </c>
    </row>
    <row r="10" spans="1:75" x14ac:dyDescent="0.25">
      <c r="A10" s="4">
        <v>5</v>
      </c>
      <c r="B10" s="4">
        <f t="shared" si="0"/>
        <v>1000</v>
      </c>
      <c r="C10" s="4" t="e">
        <f>AVERAGEIF(SttcTable[Inter-Electrode Distance],$B10,SttcTable[STTC])</f>
        <v>#DIV/0!</v>
      </c>
      <c r="K10" s="2" t="s">
        <v>10</v>
      </c>
    </row>
    <row r="11" spans="1:75" x14ac:dyDescent="0.25">
      <c r="A11" s="4">
        <v>6</v>
      </c>
      <c r="B11" s="4">
        <f t="shared" si="0"/>
        <v>1200</v>
      </c>
      <c r="C11" s="4" t="e">
        <f>AVERAGEIF(SttcTable[Inter-Electrode Distance],$B11,SttcTable[STTC])</f>
        <v>#DIV/0!</v>
      </c>
      <c r="K11" s="2" t="s">
        <v>11</v>
      </c>
    </row>
    <row r="12" spans="1:75" x14ac:dyDescent="0.25">
      <c r="A12" s="4">
        <v>7</v>
      </c>
      <c r="B12" s="4">
        <f t="shared" si="0"/>
        <v>1400</v>
      </c>
      <c r="C12" s="4" t="e">
        <f>AVERAGEIF(SttcTable[Inter-Electrode Distance],$B12,SttcTable[STTC])</f>
        <v>#DIV/0!</v>
      </c>
      <c r="K12" s="2" t="s">
        <v>12</v>
      </c>
    </row>
    <row r="13" spans="1:75" x14ac:dyDescent="0.25">
      <c r="A13" s="4">
        <v>1.4142135623730951</v>
      </c>
      <c r="B13" s="4">
        <f t="shared" si="0"/>
        <v>282.84271247461902</v>
      </c>
      <c r="C13" s="4" t="e">
        <f>AVERAGEIF(SttcTable[Inter-Electrode Distance],$B13,SttcTable[STTC])</f>
        <v>#DIV/0!</v>
      </c>
      <c r="K13" s="2" t="s">
        <v>13</v>
      </c>
    </row>
    <row r="14" spans="1:75" x14ac:dyDescent="0.25">
      <c r="A14" s="4">
        <v>2.2360679774997898</v>
      </c>
      <c r="B14" s="4">
        <f t="shared" si="0"/>
        <v>447.21359549995793</v>
      </c>
      <c r="C14" s="4" t="e">
        <f>AVERAGEIF(SttcTable[Inter-Electrode Distance],$B14,SttcTable[STTC])</f>
        <v>#DIV/0!</v>
      </c>
      <c r="K14" s="2" t="s">
        <v>14</v>
      </c>
    </row>
    <row r="15" spans="1:75" x14ac:dyDescent="0.25">
      <c r="A15" s="4">
        <v>3.1622776601683795</v>
      </c>
      <c r="B15" s="4">
        <f t="shared" si="0"/>
        <v>632.45553203367592</v>
      </c>
      <c r="C15" s="4" t="e">
        <f>AVERAGEIF(SttcTable[Inter-Electrode Distance],$B15,SttcTable[STTC])</f>
        <v>#DIV/0!</v>
      </c>
      <c r="K15" s="2" t="s">
        <v>15</v>
      </c>
    </row>
    <row r="16" spans="1:75" x14ac:dyDescent="0.25">
      <c r="A16" s="4">
        <v>4.1231056256176606</v>
      </c>
      <c r="B16" s="4">
        <f t="shared" si="0"/>
        <v>824.62112512353212</v>
      </c>
      <c r="C16" s="4" t="e">
        <f>AVERAGEIF(SttcTable[Inter-Electrode Distance],$B16,SttcTable[STTC])</f>
        <v>#DIV/0!</v>
      </c>
      <c r="K16" s="2" t="s">
        <v>16</v>
      </c>
    </row>
    <row r="17" spans="1:11" x14ac:dyDescent="0.25">
      <c r="A17" s="4">
        <v>5.0990195135927845</v>
      </c>
      <c r="B17" s="4">
        <f t="shared" si="0"/>
        <v>1019.8039027185569</v>
      </c>
      <c r="C17" s="4" t="e">
        <f>AVERAGEIF(SttcTable[Inter-Electrode Distance],$B17,SttcTable[STTC])</f>
        <v>#DIV/0!</v>
      </c>
      <c r="K17" s="2" t="s">
        <v>17</v>
      </c>
    </row>
    <row r="18" spans="1:11" x14ac:dyDescent="0.25">
      <c r="A18" s="4">
        <v>6.0827625302982202</v>
      </c>
      <c r="B18" s="4">
        <f t="shared" si="0"/>
        <v>1216.552506059644</v>
      </c>
      <c r="C18" s="4" t="e">
        <f>AVERAGEIF(SttcTable[Inter-Electrode Distance],$B18,SttcTable[STTC])</f>
        <v>#DIV/0!</v>
      </c>
      <c r="K18" s="2" t="s">
        <v>18</v>
      </c>
    </row>
    <row r="19" spans="1:11" x14ac:dyDescent="0.25">
      <c r="A19" s="4">
        <v>7.0710678118654755</v>
      </c>
      <c r="B19" s="4">
        <f t="shared" si="0"/>
        <v>1414.2135623730951</v>
      </c>
      <c r="C19" s="4" t="e">
        <f>AVERAGEIF(SttcTable[Inter-Electrode Distance],$B19,SttcTable[STTC])</f>
        <v>#DIV/0!</v>
      </c>
      <c r="K19" s="2" t="s">
        <v>19</v>
      </c>
    </row>
    <row r="20" spans="1:11" x14ac:dyDescent="0.25">
      <c r="A20" s="4">
        <v>2.8284271247461903</v>
      </c>
      <c r="B20" s="4">
        <f t="shared" si="0"/>
        <v>565.68542494923804</v>
      </c>
      <c r="C20" s="4" t="e">
        <f>AVERAGEIF(SttcTable[Inter-Electrode Distance],$B20,SttcTable[STTC])</f>
        <v>#DIV/0!</v>
      </c>
      <c r="K20" s="2" t="s">
        <v>20</v>
      </c>
    </row>
    <row r="21" spans="1:11" x14ac:dyDescent="0.25">
      <c r="A21" s="4">
        <v>3.6055512754639891</v>
      </c>
      <c r="B21" s="4">
        <f t="shared" si="0"/>
        <v>721.11025509279784</v>
      </c>
      <c r="C21" s="4" t="e">
        <f>AVERAGEIF(SttcTable[Inter-Electrode Distance],$B21,SttcTable[STTC])</f>
        <v>#DIV/0!</v>
      </c>
      <c r="K21" s="2" t="s">
        <v>21</v>
      </c>
    </row>
    <row r="22" spans="1:11" x14ac:dyDescent="0.25">
      <c r="A22" s="4">
        <v>4.4721359549995796</v>
      </c>
      <c r="B22" s="4">
        <f t="shared" si="0"/>
        <v>894.42719099991587</v>
      </c>
      <c r="C22" s="4" t="e">
        <f>AVERAGEIF(SttcTable[Inter-Electrode Distance],$B22,SttcTable[STTC])</f>
        <v>#DIV/0!</v>
      </c>
      <c r="K22" s="2" t="s">
        <v>22</v>
      </c>
    </row>
    <row r="23" spans="1:11" x14ac:dyDescent="0.25">
      <c r="A23" s="4">
        <v>5.3851648071345037</v>
      </c>
      <c r="B23" s="4">
        <f t="shared" si="0"/>
        <v>1077.0329614269008</v>
      </c>
      <c r="C23" s="4" t="e">
        <f>AVERAGEIF(SttcTable[Inter-Electrode Distance],$B23,SttcTable[STTC])</f>
        <v>#DIV/0!</v>
      </c>
      <c r="K23" s="2" t="s">
        <v>23</v>
      </c>
    </row>
    <row r="24" spans="1:11" x14ac:dyDescent="0.25">
      <c r="A24" s="4">
        <v>6.324555320336759</v>
      </c>
      <c r="B24" s="4">
        <f t="shared" si="0"/>
        <v>1264.9110640673518</v>
      </c>
      <c r="C24" s="4" t="e">
        <f>AVERAGEIF(SttcTable[Inter-Electrode Distance],$B24,SttcTable[STTC])</f>
        <v>#DIV/0!</v>
      </c>
      <c r="K24" s="2" t="s">
        <v>24</v>
      </c>
    </row>
    <row r="25" spans="1:11" x14ac:dyDescent="0.25">
      <c r="A25" s="4">
        <v>7.2801098892805181</v>
      </c>
      <c r="B25" s="4">
        <f t="shared" si="0"/>
        <v>1456.0219778561036</v>
      </c>
      <c r="C25" s="4" t="e">
        <f>AVERAGEIF(SttcTable[Inter-Electrode Distance],$B25,SttcTable[STTC])</f>
        <v>#DIV/0!</v>
      </c>
      <c r="K25" s="2" t="s">
        <v>25</v>
      </c>
    </row>
    <row r="26" spans="1:11" x14ac:dyDescent="0.25">
      <c r="A26" s="4">
        <v>4.2426406871192848</v>
      </c>
      <c r="B26" s="4">
        <f t="shared" si="0"/>
        <v>848.52813742385695</v>
      </c>
      <c r="C26" s="4" t="e">
        <f>AVERAGEIF(SttcTable[Inter-Electrode Distance],$B26,SttcTable[STTC])</f>
        <v>#DIV/0!</v>
      </c>
      <c r="K26" s="2" t="s">
        <v>26</v>
      </c>
    </row>
    <row r="27" spans="1:11" x14ac:dyDescent="0.25">
      <c r="A27" s="4">
        <v>5.8309518948453016</v>
      </c>
      <c r="B27" s="4">
        <f t="shared" si="0"/>
        <v>1166.1903789690602</v>
      </c>
      <c r="C27" s="4" t="e">
        <f>AVERAGEIF(SttcTable[Inter-Electrode Distance],$B27,SttcTable[STTC])</f>
        <v>#DIV/0!</v>
      </c>
      <c r="K27" s="2" t="s">
        <v>27</v>
      </c>
    </row>
    <row r="28" spans="1:11" x14ac:dyDescent="0.25">
      <c r="A28" s="4">
        <v>6.7082039324993694</v>
      </c>
      <c r="B28" s="4">
        <f t="shared" si="0"/>
        <v>1341.6407864998739</v>
      </c>
      <c r="C28" s="4" t="e">
        <f>AVERAGEIF(SttcTable[Inter-Electrode Distance],$B28,SttcTable[STTC])</f>
        <v>#DIV/0!</v>
      </c>
      <c r="K28" s="2" t="s">
        <v>28</v>
      </c>
    </row>
    <row r="29" spans="1:11" x14ac:dyDescent="0.25">
      <c r="A29" s="4">
        <v>7.6157731058639095</v>
      </c>
      <c r="B29" s="4">
        <f t="shared" si="0"/>
        <v>1523.1546211727818</v>
      </c>
      <c r="C29" s="4" t="e">
        <f>AVERAGEIF(SttcTable[Inter-Electrode Distance],$B29,SttcTable[STTC])</f>
        <v>#DIV/0!</v>
      </c>
      <c r="K29" s="2" t="s">
        <v>29</v>
      </c>
    </row>
    <row r="30" spans="1:11" x14ac:dyDescent="0.25">
      <c r="A30" s="4">
        <v>5.6568542494923806</v>
      </c>
      <c r="B30" s="4">
        <f t="shared" si="0"/>
        <v>1131.3708498984761</v>
      </c>
      <c r="C30" s="4" t="e">
        <f>AVERAGEIF(SttcTable[Inter-Electrode Distance],$B30,SttcTable[STTC])</f>
        <v>#DIV/0!</v>
      </c>
      <c r="K30" s="2" t="s">
        <v>30</v>
      </c>
    </row>
    <row r="31" spans="1:11" x14ac:dyDescent="0.25">
      <c r="A31" s="4">
        <v>6.4031242374328485</v>
      </c>
      <c r="B31" s="4">
        <f t="shared" si="0"/>
        <v>1280.6248474865697</v>
      </c>
      <c r="C31" s="4" t="e">
        <f>AVERAGEIF(SttcTable[Inter-Electrode Distance],$B31,SttcTable[STTC])</f>
        <v>#DIV/0!</v>
      </c>
      <c r="K31" s="2" t="s">
        <v>31</v>
      </c>
    </row>
    <row r="32" spans="1:11" x14ac:dyDescent="0.25">
      <c r="A32" s="4">
        <v>7.2111025509279782</v>
      </c>
      <c r="B32" s="4">
        <f t="shared" si="0"/>
        <v>1442.2205101855957</v>
      </c>
      <c r="C32" s="4" t="e">
        <f>AVERAGEIF(SttcTable[Inter-Electrode Distance],$B32,SttcTable[STTC])</f>
        <v>#DIV/0!</v>
      </c>
      <c r="K32" s="2" t="s">
        <v>32</v>
      </c>
    </row>
    <row r="33" spans="1:11" x14ac:dyDescent="0.25">
      <c r="A33" s="4">
        <v>8.0622577482985491</v>
      </c>
      <c r="B33" s="4">
        <f t="shared" si="0"/>
        <v>1612.4515496597098</v>
      </c>
      <c r="C33" s="4" t="e">
        <f>AVERAGEIF(SttcTable[Inter-Electrode Distance],$B33,SttcTable[STTC])</f>
        <v>#DIV/0!</v>
      </c>
      <c r="K33" s="2" t="s">
        <v>33</v>
      </c>
    </row>
    <row r="34" spans="1:11" x14ac:dyDescent="0.25">
      <c r="A34" s="4">
        <v>7.810249675906654</v>
      </c>
      <c r="B34" s="4">
        <f t="shared" si="0"/>
        <v>1562.0499351813307</v>
      </c>
      <c r="C34" s="4" t="e">
        <f>AVERAGEIF(SttcTable[Inter-Electrode Distance],$B34,SttcTable[STTC])</f>
        <v>#DIV/0!</v>
      </c>
      <c r="K34" s="2" t="s">
        <v>34</v>
      </c>
    </row>
    <row r="35" spans="1:11" x14ac:dyDescent="0.25">
      <c r="A35" s="4">
        <v>8.6023252670426267</v>
      </c>
      <c r="B35" s="4">
        <f t="shared" si="0"/>
        <v>1720.4650534085254</v>
      </c>
      <c r="C35" s="4" t="e">
        <f>AVERAGEIF(SttcTable[Inter-Electrode Distance],$B35,SttcTable[STTC])</f>
        <v>#DIV/0!</v>
      </c>
      <c r="K35" s="2" t="s">
        <v>35</v>
      </c>
    </row>
    <row r="36" spans="1:11" x14ac:dyDescent="0.25">
      <c r="A36" s="4">
        <v>8.4852813742385695</v>
      </c>
      <c r="B36" s="4">
        <f t="shared" si="0"/>
        <v>1697.0562748477139</v>
      </c>
      <c r="C36" s="4" t="e">
        <f>AVERAGEIF(SttcTable[Inter-Electrode Distance],$B36,SttcTable[STTC])</f>
        <v>#DIV/0!</v>
      </c>
      <c r="K36" s="2" t="s">
        <v>36</v>
      </c>
    </row>
    <row r="37" spans="1:11" x14ac:dyDescent="0.25">
      <c r="A37" s="4">
        <v>9.2195444572928871</v>
      </c>
      <c r="B37" s="4">
        <f t="shared" si="0"/>
        <v>1843.9088914585775</v>
      </c>
      <c r="C37" s="4" t="e">
        <f>AVERAGEIF(SttcTable[Inter-Electrode Distance],$B37,SttcTable[STTC])</f>
        <v>#DIV/0!</v>
      </c>
      <c r="K37" s="2" t="s">
        <v>37</v>
      </c>
    </row>
    <row r="38" spans="1:11" x14ac:dyDescent="0.25">
      <c r="A38" s="4">
        <v>9.8994949366116654</v>
      </c>
      <c r="B38" s="4">
        <f t="shared" si="0"/>
        <v>1979.8989873223331</v>
      </c>
      <c r="C38" s="4" t="e">
        <f>AVERAGEIF(SttcTable[Inter-Electrode Distance],$B38,SttcTable[STTC])</f>
        <v>#DIV/0!</v>
      </c>
      <c r="K38" s="2" t="s">
        <v>38</v>
      </c>
    </row>
    <row r="39" spans="1:11" x14ac:dyDescent="0.25">
      <c r="B39"/>
      <c r="K39" s="2" t="s">
        <v>39</v>
      </c>
    </row>
    <row r="40" spans="1:11" x14ac:dyDescent="0.25">
      <c r="B40"/>
      <c r="K40" s="2" t="s">
        <v>40</v>
      </c>
    </row>
    <row r="41" spans="1:11" x14ac:dyDescent="0.25">
      <c r="B41"/>
      <c r="K41" s="2" t="s">
        <v>41</v>
      </c>
    </row>
    <row r="42" spans="1:11" x14ac:dyDescent="0.25">
      <c r="B42"/>
      <c r="K42" s="2" t="s">
        <v>42</v>
      </c>
    </row>
    <row r="43" spans="1:11" x14ac:dyDescent="0.25">
      <c r="B43"/>
      <c r="K43" s="2" t="s">
        <v>43</v>
      </c>
    </row>
    <row r="44" spans="1:11" x14ac:dyDescent="0.25">
      <c r="B44"/>
      <c r="K44" s="2" t="s">
        <v>44</v>
      </c>
    </row>
    <row r="45" spans="1:11" x14ac:dyDescent="0.25">
      <c r="B45"/>
      <c r="K45" s="2" t="s">
        <v>45</v>
      </c>
    </row>
    <row r="46" spans="1:11" x14ac:dyDescent="0.25">
      <c r="B46"/>
      <c r="K46" s="2" t="s">
        <v>46</v>
      </c>
    </row>
    <row r="47" spans="1:11" x14ac:dyDescent="0.25">
      <c r="B47"/>
      <c r="K47" s="2" t="s">
        <v>47</v>
      </c>
    </row>
    <row r="48" spans="1:11" x14ac:dyDescent="0.25">
      <c r="B48"/>
      <c r="K48" s="2" t="s">
        <v>48</v>
      </c>
    </row>
    <row r="49" spans="2:11" x14ac:dyDescent="0.25">
      <c r="B49"/>
      <c r="K49" s="2" t="s">
        <v>49</v>
      </c>
    </row>
    <row r="50" spans="2:11" x14ac:dyDescent="0.25">
      <c r="B50"/>
      <c r="K50" s="2" t="s">
        <v>50</v>
      </c>
    </row>
    <row r="51" spans="2:11" x14ac:dyDescent="0.25">
      <c r="B51"/>
      <c r="K51" s="2" t="s">
        <v>51</v>
      </c>
    </row>
    <row r="52" spans="2:11" x14ac:dyDescent="0.25">
      <c r="B52"/>
      <c r="K52" s="2" t="s">
        <v>52</v>
      </c>
    </row>
    <row r="53" spans="2:11" x14ac:dyDescent="0.25">
      <c r="B53"/>
      <c r="K53" s="2" t="s">
        <v>53</v>
      </c>
    </row>
    <row r="54" spans="2:11" x14ac:dyDescent="0.25">
      <c r="B54"/>
      <c r="K54" s="2" t="s">
        <v>54</v>
      </c>
    </row>
    <row r="55" spans="2:11" x14ac:dyDescent="0.25">
      <c r="B55"/>
      <c r="K55" s="2" t="s">
        <v>55</v>
      </c>
    </row>
    <row r="56" spans="2:11" x14ac:dyDescent="0.25">
      <c r="B56"/>
      <c r="K56" s="2" t="s">
        <v>56</v>
      </c>
    </row>
    <row r="57" spans="2:11" x14ac:dyDescent="0.25">
      <c r="B57"/>
      <c r="K57" s="2" t="s">
        <v>57</v>
      </c>
    </row>
    <row r="58" spans="2:11" x14ac:dyDescent="0.25">
      <c r="B58"/>
      <c r="K58" s="2" t="s">
        <v>58</v>
      </c>
    </row>
    <row r="59" spans="2:11" x14ac:dyDescent="0.25">
      <c r="B59"/>
      <c r="K59" s="2" t="s">
        <v>59</v>
      </c>
    </row>
    <row r="60" spans="2:11" x14ac:dyDescent="0.25">
      <c r="B60"/>
      <c r="K60" s="2" t="s">
        <v>60</v>
      </c>
    </row>
    <row r="61" spans="2:11" x14ac:dyDescent="0.25">
      <c r="B61"/>
      <c r="K61" s="2" t="s">
        <v>61</v>
      </c>
    </row>
    <row r="62" spans="2:11" x14ac:dyDescent="0.25">
      <c r="B62"/>
      <c r="K62" s="2" t="s">
        <v>62</v>
      </c>
    </row>
    <row r="63" spans="2:11" x14ac:dyDescent="0.25">
      <c r="B63"/>
      <c r="K63" s="2" t="s">
        <v>63</v>
      </c>
    </row>
    <row r="64" spans="2:11" x14ac:dyDescent="0.25">
      <c r="B64"/>
      <c r="K64" s="2" t="s">
        <v>64</v>
      </c>
    </row>
    <row r="65" spans="2:11" x14ac:dyDescent="0.25">
      <c r="B65"/>
      <c r="K65" s="2" t="s">
        <v>65</v>
      </c>
    </row>
    <row r="66" spans="2:11" x14ac:dyDescent="0.25">
      <c r="B66"/>
      <c r="K66" s="2" t="s">
        <v>66</v>
      </c>
    </row>
    <row r="67" spans="2:11" x14ac:dyDescent="0.25">
      <c r="B67"/>
      <c r="K67" s="2" t="s">
        <v>67</v>
      </c>
    </row>
    <row r="68" spans="2:11" x14ac:dyDescent="0.25">
      <c r="B68"/>
      <c r="K68" s="2" t="s">
        <v>68</v>
      </c>
    </row>
    <row r="69" spans="2:11" x14ac:dyDescent="0.25">
      <c r="B69"/>
      <c r="K69" s="2" t="s">
        <v>69</v>
      </c>
    </row>
    <row r="70" spans="2:11" x14ac:dyDescent="0.25">
      <c r="B70"/>
    </row>
    <row r="71" spans="2:11" x14ac:dyDescent="0.25">
      <c r="B71"/>
    </row>
    <row r="72" spans="2:11" x14ac:dyDescent="0.25">
      <c r="B72"/>
    </row>
    <row r="73" spans="2:11" x14ac:dyDescent="0.25">
      <c r="B73"/>
    </row>
    <row r="74" spans="2:11" x14ac:dyDescent="0.25">
      <c r="B74"/>
    </row>
    <row r="75" spans="2:11" x14ac:dyDescent="0.25">
      <c r="B75"/>
    </row>
    <row r="76" spans="2:11" x14ac:dyDescent="0.25">
      <c r="B76"/>
    </row>
    <row r="77" spans="2:11" x14ac:dyDescent="0.25">
      <c r="B77"/>
    </row>
    <row r="78" spans="2:11" x14ac:dyDescent="0.25">
      <c r="B78"/>
    </row>
    <row r="79" spans="2:11" x14ac:dyDescent="0.25">
      <c r="B79"/>
    </row>
    <row r="80" spans="2:11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</sheetData>
  <conditionalFormatting sqref="L6:BW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WriteChannelData.WriteChannelData">
                <anchor moveWithCells="1">
                  <from>
                    <xdr:col>4</xdr:col>
                    <xdr:colOff>609600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W2021"/>
  <sheetViews>
    <sheetView workbookViewId="0">
      <selection activeCell="L6" sqref="L6"/>
    </sheetView>
  </sheetViews>
  <sheetFormatPr defaultRowHeight="15" x14ac:dyDescent="0.25"/>
  <cols>
    <col min="1" max="1" width="12.7109375" style="1" bestFit="1" customWidth="1"/>
    <col min="2" max="2" width="9.140625" style="1"/>
    <col min="3" max="3" width="10.5703125" style="1" bestFit="1" customWidth="1"/>
    <col min="4" max="5" width="9.140625" style="1"/>
    <col min="6" max="7" width="16" style="1" bestFit="1" customWidth="1"/>
    <col min="8" max="8" width="27.42578125" style="1" bestFit="1" customWidth="1"/>
    <col min="9" max="9" width="9.7109375" style="1" bestFit="1" customWidth="1"/>
    <col min="10" max="16384" width="9.140625" style="1"/>
  </cols>
  <sheetData>
    <row r="1" spans="1:75" x14ac:dyDescent="0.25">
      <c r="A1" s="6" t="s">
        <v>77</v>
      </c>
    </row>
    <row r="2" spans="1:75" x14ac:dyDescent="0.25">
      <c r="A2" s="1">
        <v>200</v>
      </c>
    </row>
    <row r="3" spans="1:75" ht="18.75" x14ac:dyDescent="0.25">
      <c r="L3" s="5" t="s">
        <v>70</v>
      </c>
    </row>
    <row r="5" spans="1:75" x14ac:dyDescent="0.25">
      <c r="A5" s="2" t="s">
        <v>76</v>
      </c>
      <c r="B5" s="2" t="s">
        <v>71</v>
      </c>
      <c r="C5" s="2" t="s">
        <v>72</v>
      </c>
      <c r="F5" s="2" t="s">
        <v>5</v>
      </c>
      <c r="G5" s="2" t="s">
        <v>4</v>
      </c>
      <c r="H5" s="1" t="s">
        <v>3</v>
      </c>
      <c r="I5" s="1" t="s">
        <v>2</v>
      </c>
      <c r="L5" s="2" t="s">
        <v>6</v>
      </c>
      <c r="M5" s="2" t="s">
        <v>7</v>
      </c>
      <c r="N5" s="2" t="s">
        <v>8</v>
      </c>
      <c r="O5" s="2" t="s">
        <v>9</v>
      </c>
      <c r="P5" s="2" t="s">
        <v>10</v>
      </c>
      <c r="Q5" s="2" t="s">
        <v>11</v>
      </c>
      <c r="R5" s="2" t="s">
        <v>12</v>
      </c>
      <c r="S5" s="2" t="s">
        <v>13</v>
      </c>
      <c r="T5" s="2" t="s">
        <v>14</v>
      </c>
      <c r="U5" s="2" t="s">
        <v>15</v>
      </c>
      <c r="V5" s="2" t="s">
        <v>16</v>
      </c>
      <c r="W5" s="2" t="s">
        <v>17</v>
      </c>
      <c r="X5" s="2" t="s">
        <v>18</v>
      </c>
      <c r="Y5" s="2" t="s">
        <v>19</v>
      </c>
      <c r="Z5" s="2" t="s">
        <v>20</v>
      </c>
      <c r="AA5" s="2" t="s">
        <v>21</v>
      </c>
      <c r="AB5" s="2" t="s">
        <v>22</v>
      </c>
      <c r="AC5" s="2" t="s">
        <v>23</v>
      </c>
      <c r="AD5" s="2" t="s">
        <v>24</v>
      </c>
      <c r="AE5" s="2" t="s">
        <v>25</v>
      </c>
      <c r="AF5" s="2" t="s">
        <v>26</v>
      </c>
      <c r="AG5" s="2" t="s">
        <v>27</v>
      </c>
      <c r="AH5" s="2" t="s">
        <v>28</v>
      </c>
      <c r="AI5" s="2" t="s">
        <v>29</v>
      </c>
      <c r="AJ5" s="2" t="s">
        <v>30</v>
      </c>
      <c r="AK5" s="2" t="s">
        <v>31</v>
      </c>
      <c r="AL5" s="2" t="s">
        <v>32</v>
      </c>
      <c r="AM5" s="2" t="s">
        <v>33</v>
      </c>
      <c r="AN5" s="2" t="s">
        <v>34</v>
      </c>
      <c r="AO5" s="2" t="s">
        <v>35</v>
      </c>
      <c r="AP5" s="2" t="s">
        <v>36</v>
      </c>
      <c r="AQ5" s="2" t="s">
        <v>37</v>
      </c>
      <c r="AR5" s="2" t="s">
        <v>38</v>
      </c>
      <c r="AS5" s="2" t="s">
        <v>39</v>
      </c>
      <c r="AT5" s="2" t="s">
        <v>40</v>
      </c>
      <c r="AU5" s="2" t="s">
        <v>41</v>
      </c>
      <c r="AV5" s="2" t="s">
        <v>42</v>
      </c>
      <c r="AW5" s="2" t="s">
        <v>43</v>
      </c>
      <c r="AX5" s="2" t="s">
        <v>44</v>
      </c>
      <c r="AY5" s="2" t="s">
        <v>45</v>
      </c>
      <c r="AZ5" s="2" t="s">
        <v>46</v>
      </c>
      <c r="BA5" s="2" t="s">
        <v>47</v>
      </c>
      <c r="BB5" s="2" t="s">
        <v>48</v>
      </c>
      <c r="BC5" s="2" t="s">
        <v>49</v>
      </c>
      <c r="BD5" s="2" t="s">
        <v>50</v>
      </c>
      <c r="BE5" s="2" t="s">
        <v>51</v>
      </c>
      <c r="BF5" s="2" t="s">
        <v>52</v>
      </c>
      <c r="BG5" s="2" t="s">
        <v>53</v>
      </c>
      <c r="BH5" s="2" t="s">
        <v>54</v>
      </c>
      <c r="BI5" s="2" t="s">
        <v>55</v>
      </c>
      <c r="BJ5" s="2" t="s">
        <v>56</v>
      </c>
      <c r="BK5" s="2" t="s">
        <v>57</v>
      </c>
      <c r="BL5" s="2" t="s">
        <v>58</v>
      </c>
      <c r="BM5" s="2" t="s">
        <v>59</v>
      </c>
      <c r="BN5" s="2" t="s">
        <v>60</v>
      </c>
      <c r="BO5" s="2" t="s">
        <v>61</v>
      </c>
      <c r="BP5" s="2" t="s">
        <v>62</v>
      </c>
      <c r="BQ5" s="2" t="s">
        <v>63</v>
      </c>
      <c r="BR5" s="2" t="s">
        <v>64</v>
      </c>
      <c r="BS5" s="2" t="s">
        <v>65</v>
      </c>
      <c r="BT5" s="2" t="s">
        <v>66</v>
      </c>
      <c r="BU5" s="2" t="s">
        <v>67</v>
      </c>
      <c r="BV5" s="2" t="s">
        <v>68</v>
      </c>
      <c r="BW5" s="2" t="s">
        <v>69</v>
      </c>
    </row>
    <row r="6" spans="1:75" x14ac:dyDescent="0.25">
      <c r="A6" s="4">
        <v>1</v>
      </c>
      <c r="B6" s="4">
        <f t="shared" ref="B6:B38" si="0">$A6*$A$2</f>
        <v>200</v>
      </c>
      <c r="C6" s="4" t="e">
        <f>AVERAGEIF(SttcTable3[Inter-Electrode Distance],$B6,SttcTable3[STTC])</f>
        <v>#DIV/0!</v>
      </c>
      <c r="F6" s="3"/>
      <c r="G6" s="3"/>
      <c r="H6" s="4"/>
      <c r="I6" s="4"/>
      <c r="K6" s="2" t="s">
        <v>6</v>
      </c>
    </row>
    <row r="7" spans="1:75" x14ac:dyDescent="0.25">
      <c r="A7" s="4">
        <v>2</v>
      </c>
      <c r="B7" s="4">
        <f t="shared" si="0"/>
        <v>400</v>
      </c>
      <c r="C7" s="4" t="e">
        <f>AVERAGEIF(SttcTable3[Inter-Electrode Distance],$B7,SttcTable3[STTC])</f>
        <v>#DIV/0!</v>
      </c>
      <c r="K7" s="2" t="s">
        <v>7</v>
      </c>
    </row>
    <row r="8" spans="1:75" x14ac:dyDescent="0.25">
      <c r="A8" s="4">
        <v>3</v>
      </c>
      <c r="B8" s="4">
        <f t="shared" si="0"/>
        <v>600</v>
      </c>
      <c r="C8" s="4" t="e">
        <f>AVERAGEIF(SttcTable3[Inter-Electrode Distance],$B8,SttcTable3[STTC])</f>
        <v>#DIV/0!</v>
      </c>
      <c r="K8" s="2" t="s">
        <v>8</v>
      </c>
    </row>
    <row r="9" spans="1:75" x14ac:dyDescent="0.25">
      <c r="A9" s="4">
        <v>4</v>
      </c>
      <c r="B9" s="4">
        <f t="shared" si="0"/>
        <v>800</v>
      </c>
      <c r="C9" s="4" t="e">
        <f>AVERAGEIF(SttcTable3[Inter-Electrode Distance],$B9,SttcTable3[STTC])</f>
        <v>#DIV/0!</v>
      </c>
      <c r="K9" s="2" t="s">
        <v>9</v>
      </c>
    </row>
    <row r="10" spans="1:75" x14ac:dyDescent="0.25">
      <c r="A10" s="4">
        <v>5</v>
      </c>
      <c r="B10" s="4">
        <f t="shared" si="0"/>
        <v>1000</v>
      </c>
      <c r="C10" s="4" t="e">
        <f>AVERAGEIF(SttcTable3[Inter-Electrode Distance],$B10,SttcTable3[STTC])</f>
        <v>#DIV/0!</v>
      </c>
      <c r="K10" s="2" t="s">
        <v>10</v>
      </c>
    </row>
    <row r="11" spans="1:75" x14ac:dyDescent="0.25">
      <c r="A11" s="4">
        <v>6</v>
      </c>
      <c r="B11" s="4">
        <f t="shared" si="0"/>
        <v>1200</v>
      </c>
      <c r="C11" s="4" t="e">
        <f>AVERAGEIF(SttcTable3[Inter-Electrode Distance],$B11,SttcTable3[STTC])</f>
        <v>#DIV/0!</v>
      </c>
      <c r="K11" s="2" t="s">
        <v>11</v>
      </c>
    </row>
    <row r="12" spans="1:75" x14ac:dyDescent="0.25">
      <c r="A12" s="4">
        <v>7</v>
      </c>
      <c r="B12" s="4">
        <f t="shared" si="0"/>
        <v>1400</v>
      </c>
      <c r="C12" s="4" t="e">
        <f>AVERAGEIF(SttcTable3[Inter-Electrode Distance],$B12,SttcTable3[STTC])</f>
        <v>#DIV/0!</v>
      </c>
      <c r="K12" s="2" t="s">
        <v>12</v>
      </c>
    </row>
    <row r="13" spans="1:75" x14ac:dyDescent="0.25">
      <c r="A13" s="4">
        <v>1.4142135623730951</v>
      </c>
      <c r="B13" s="4">
        <f t="shared" si="0"/>
        <v>282.84271247461902</v>
      </c>
      <c r="C13" s="4" t="e">
        <f>AVERAGEIF(SttcTable3[Inter-Electrode Distance],$B13,SttcTable3[STTC])</f>
        <v>#DIV/0!</v>
      </c>
      <c r="K13" s="2" t="s">
        <v>13</v>
      </c>
    </row>
    <row r="14" spans="1:75" x14ac:dyDescent="0.25">
      <c r="A14" s="4">
        <v>2.2360679774997898</v>
      </c>
      <c r="B14" s="4">
        <f t="shared" si="0"/>
        <v>447.21359549995793</v>
      </c>
      <c r="C14" s="4" t="e">
        <f>AVERAGEIF(SttcTable3[Inter-Electrode Distance],$B14,SttcTable3[STTC])</f>
        <v>#DIV/0!</v>
      </c>
      <c r="K14" s="2" t="s">
        <v>14</v>
      </c>
    </row>
    <row r="15" spans="1:75" x14ac:dyDescent="0.25">
      <c r="A15" s="4">
        <v>3.1622776601683795</v>
      </c>
      <c r="B15" s="4">
        <f t="shared" si="0"/>
        <v>632.45553203367592</v>
      </c>
      <c r="C15" s="4" t="e">
        <f>AVERAGEIF(SttcTable3[Inter-Electrode Distance],$B15,SttcTable3[STTC])</f>
        <v>#DIV/0!</v>
      </c>
      <c r="K15" s="2" t="s">
        <v>15</v>
      </c>
    </row>
    <row r="16" spans="1:75" x14ac:dyDescent="0.25">
      <c r="A16" s="4">
        <v>4.1231056256176606</v>
      </c>
      <c r="B16" s="4">
        <f t="shared" si="0"/>
        <v>824.62112512353212</v>
      </c>
      <c r="C16" s="4" t="e">
        <f>AVERAGEIF(SttcTable3[Inter-Electrode Distance],$B16,SttcTable3[STTC])</f>
        <v>#DIV/0!</v>
      </c>
      <c r="K16" s="2" t="s">
        <v>16</v>
      </c>
    </row>
    <row r="17" spans="1:11" x14ac:dyDescent="0.25">
      <c r="A17" s="4">
        <v>5.0990195135927845</v>
      </c>
      <c r="B17" s="4">
        <f t="shared" si="0"/>
        <v>1019.8039027185569</v>
      </c>
      <c r="C17" s="4" t="e">
        <f>AVERAGEIF(SttcTable3[Inter-Electrode Distance],$B17,SttcTable3[STTC])</f>
        <v>#DIV/0!</v>
      </c>
      <c r="K17" s="2" t="s">
        <v>17</v>
      </c>
    </row>
    <row r="18" spans="1:11" x14ac:dyDescent="0.25">
      <c r="A18" s="4">
        <v>6.0827625302982202</v>
      </c>
      <c r="B18" s="4">
        <f t="shared" si="0"/>
        <v>1216.552506059644</v>
      </c>
      <c r="C18" s="4" t="e">
        <f>AVERAGEIF(SttcTable3[Inter-Electrode Distance],$B18,SttcTable3[STTC])</f>
        <v>#DIV/0!</v>
      </c>
      <c r="K18" s="2" t="s">
        <v>18</v>
      </c>
    </row>
    <row r="19" spans="1:11" x14ac:dyDescent="0.25">
      <c r="A19" s="4">
        <v>7.0710678118654755</v>
      </c>
      <c r="B19" s="4">
        <f t="shared" si="0"/>
        <v>1414.2135623730951</v>
      </c>
      <c r="C19" s="4" t="e">
        <f>AVERAGEIF(SttcTable3[Inter-Electrode Distance],$B19,SttcTable3[STTC])</f>
        <v>#DIV/0!</v>
      </c>
      <c r="K19" s="2" t="s">
        <v>19</v>
      </c>
    </row>
    <row r="20" spans="1:11" x14ac:dyDescent="0.25">
      <c r="A20" s="4">
        <v>2.8284271247461903</v>
      </c>
      <c r="B20" s="4">
        <f t="shared" si="0"/>
        <v>565.68542494923804</v>
      </c>
      <c r="C20" s="4" t="e">
        <f>AVERAGEIF(SttcTable3[Inter-Electrode Distance],$B20,SttcTable3[STTC])</f>
        <v>#DIV/0!</v>
      </c>
      <c r="K20" s="2" t="s">
        <v>20</v>
      </c>
    </row>
    <row r="21" spans="1:11" x14ac:dyDescent="0.25">
      <c r="A21" s="4">
        <v>3.6055512754639891</v>
      </c>
      <c r="B21" s="4">
        <f t="shared" si="0"/>
        <v>721.11025509279784</v>
      </c>
      <c r="C21" s="4" t="e">
        <f>AVERAGEIF(SttcTable3[Inter-Electrode Distance],$B21,SttcTable3[STTC])</f>
        <v>#DIV/0!</v>
      </c>
      <c r="K21" s="2" t="s">
        <v>21</v>
      </c>
    </row>
    <row r="22" spans="1:11" x14ac:dyDescent="0.25">
      <c r="A22" s="4">
        <v>4.4721359549995796</v>
      </c>
      <c r="B22" s="4">
        <f t="shared" si="0"/>
        <v>894.42719099991587</v>
      </c>
      <c r="C22" s="4" t="e">
        <f>AVERAGEIF(SttcTable3[Inter-Electrode Distance],$B22,SttcTable3[STTC])</f>
        <v>#DIV/0!</v>
      </c>
      <c r="K22" s="2" t="s">
        <v>22</v>
      </c>
    </row>
    <row r="23" spans="1:11" x14ac:dyDescent="0.25">
      <c r="A23" s="4">
        <v>5.3851648071345037</v>
      </c>
      <c r="B23" s="4">
        <f t="shared" si="0"/>
        <v>1077.0329614269008</v>
      </c>
      <c r="C23" s="4" t="e">
        <f>AVERAGEIF(SttcTable3[Inter-Electrode Distance],$B23,SttcTable3[STTC])</f>
        <v>#DIV/0!</v>
      </c>
      <c r="K23" s="2" t="s">
        <v>23</v>
      </c>
    </row>
    <row r="24" spans="1:11" x14ac:dyDescent="0.25">
      <c r="A24" s="4">
        <v>6.324555320336759</v>
      </c>
      <c r="B24" s="4">
        <f t="shared" si="0"/>
        <v>1264.9110640673518</v>
      </c>
      <c r="C24" s="4" t="e">
        <f>AVERAGEIF(SttcTable3[Inter-Electrode Distance],$B24,SttcTable3[STTC])</f>
        <v>#DIV/0!</v>
      </c>
      <c r="K24" s="2" t="s">
        <v>24</v>
      </c>
    </row>
    <row r="25" spans="1:11" x14ac:dyDescent="0.25">
      <c r="A25" s="4">
        <v>7.2801098892805181</v>
      </c>
      <c r="B25" s="4">
        <f t="shared" si="0"/>
        <v>1456.0219778561036</v>
      </c>
      <c r="C25" s="4" t="e">
        <f>AVERAGEIF(SttcTable3[Inter-Electrode Distance],$B25,SttcTable3[STTC])</f>
        <v>#DIV/0!</v>
      </c>
      <c r="K25" s="2" t="s">
        <v>25</v>
      </c>
    </row>
    <row r="26" spans="1:11" x14ac:dyDescent="0.25">
      <c r="A26" s="4">
        <v>4.2426406871192848</v>
      </c>
      <c r="B26" s="4">
        <f t="shared" si="0"/>
        <v>848.52813742385695</v>
      </c>
      <c r="C26" s="4" t="e">
        <f>AVERAGEIF(SttcTable3[Inter-Electrode Distance],$B26,SttcTable3[STTC])</f>
        <v>#DIV/0!</v>
      </c>
      <c r="K26" s="2" t="s">
        <v>26</v>
      </c>
    </row>
    <row r="27" spans="1:11" x14ac:dyDescent="0.25">
      <c r="A27" s="4">
        <v>5.8309518948453016</v>
      </c>
      <c r="B27" s="4">
        <f t="shared" si="0"/>
        <v>1166.1903789690602</v>
      </c>
      <c r="C27" s="4" t="e">
        <f>AVERAGEIF(SttcTable3[Inter-Electrode Distance],$B27,SttcTable3[STTC])</f>
        <v>#DIV/0!</v>
      </c>
      <c r="K27" s="2" t="s">
        <v>27</v>
      </c>
    </row>
    <row r="28" spans="1:11" x14ac:dyDescent="0.25">
      <c r="A28" s="4">
        <v>6.7082039324993694</v>
      </c>
      <c r="B28" s="4">
        <f t="shared" si="0"/>
        <v>1341.6407864998739</v>
      </c>
      <c r="C28" s="4" t="e">
        <f>AVERAGEIF(SttcTable3[Inter-Electrode Distance],$B28,SttcTable3[STTC])</f>
        <v>#DIV/0!</v>
      </c>
      <c r="K28" s="2" t="s">
        <v>28</v>
      </c>
    </row>
    <row r="29" spans="1:11" x14ac:dyDescent="0.25">
      <c r="A29" s="4">
        <v>7.6157731058639095</v>
      </c>
      <c r="B29" s="4">
        <f t="shared" si="0"/>
        <v>1523.1546211727818</v>
      </c>
      <c r="C29" s="4" t="e">
        <f>AVERAGEIF(SttcTable3[Inter-Electrode Distance],$B29,SttcTable3[STTC])</f>
        <v>#DIV/0!</v>
      </c>
      <c r="K29" s="2" t="s">
        <v>29</v>
      </c>
    </row>
    <row r="30" spans="1:11" x14ac:dyDescent="0.25">
      <c r="A30" s="4">
        <v>5.6568542494923806</v>
      </c>
      <c r="B30" s="4">
        <f t="shared" si="0"/>
        <v>1131.3708498984761</v>
      </c>
      <c r="C30" s="4" t="e">
        <f>AVERAGEIF(SttcTable3[Inter-Electrode Distance],$B30,SttcTable3[STTC])</f>
        <v>#DIV/0!</v>
      </c>
      <c r="K30" s="2" t="s">
        <v>30</v>
      </c>
    </row>
    <row r="31" spans="1:11" x14ac:dyDescent="0.25">
      <c r="A31" s="4">
        <v>6.4031242374328485</v>
      </c>
      <c r="B31" s="4">
        <f t="shared" si="0"/>
        <v>1280.6248474865697</v>
      </c>
      <c r="C31" s="4" t="e">
        <f>AVERAGEIF(SttcTable3[Inter-Electrode Distance],$B31,SttcTable3[STTC])</f>
        <v>#DIV/0!</v>
      </c>
      <c r="K31" s="2" t="s">
        <v>31</v>
      </c>
    </row>
    <row r="32" spans="1:11" x14ac:dyDescent="0.25">
      <c r="A32" s="4">
        <v>7.2111025509279782</v>
      </c>
      <c r="B32" s="4">
        <f t="shared" si="0"/>
        <v>1442.2205101855957</v>
      </c>
      <c r="C32" s="4" t="e">
        <f>AVERAGEIF(SttcTable3[Inter-Electrode Distance],$B32,SttcTable3[STTC])</f>
        <v>#DIV/0!</v>
      </c>
      <c r="K32" s="2" t="s">
        <v>32</v>
      </c>
    </row>
    <row r="33" spans="1:11" x14ac:dyDescent="0.25">
      <c r="A33" s="4">
        <v>8.0622577482985491</v>
      </c>
      <c r="B33" s="4">
        <f t="shared" si="0"/>
        <v>1612.4515496597098</v>
      </c>
      <c r="C33" s="4" t="e">
        <f>AVERAGEIF(SttcTable3[Inter-Electrode Distance],$B33,SttcTable3[STTC])</f>
        <v>#DIV/0!</v>
      </c>
      <c r="K33" s="2" t="s">
        <v>33</v>
      </c>
    </row>
    <row r="34" spans="1:11" x14ac:dyDescent="0.25">
      <c r="A34" s="4">
        <v>7.810249675906654</v>
      </c>
      <c r="B34" s="4">
        <f t="shared" si="0"/>
        <v>1562.0499351813307</v>
      </c>
      <c r="C34" s="4" t="e">
        <f>AVERAGEIF(SttcTable3[Inter-Electrode Distance],$B34,SttcTable3[STTC])</f>
        <v>#DIV/0!</v>
      </c>
      <c r="K34" s="2" t="s">
        <v>34</v>
      </c>
    </row>
    <row r="35" spans="1:11" x14ac:dyDescent="0.25">
      <c r="A35" s="4">
        <v>8.6023252670426267</v>
      </c>
      <c r="B35" s="4">
        <f t="shared" si="0"/>
        <v>1720.4650534085254</v>
      </c>
      <c r="C35" s="4" t="e">
        <f>AVERAGEIF(SttcTable3[Inter-Electrode Distance],$B35,SttcTable3[STTC])</f>
        <v>#DIV/0!</v>
      </c>
      <c r="K35" s="2" t="s">
        <v>35</v>
      </c>
    </row>
    <row r="36" spans="1:11" x14ac:dyDescent="0.25">
      <c r="A36" s="4">
        <v>8.4852813742385695</v>
      </c>
      <c r="B36" s="4">
        <f t="shared" si="0"/>
        <v>1697.0562748477139</v>
      </c>
      <c r="C36" s="4" t="e">
        <f>AVERAGEIF(SttcTable3[Inter-Electrode Distance],$B36,SttcTable3[STTC])</f>
        <v>#DIV/0!</v>
      </c>
      <c r="K36" s="2" t="s">
        <v>36</v>
      </c>
    </row>
    <row r="37" spans="1:11" x14ac:dyDescent="0.25">
      <c r="A37" s="4">
        <v>9.2195444572928871</v>
      </c>
      <c r="B37" s="4">
        <f t="shared" si="0"/>
        <v>1843.9088914585775</v>
      </c>
      <c r="C37" s="4" t="e">
        <f>AVERAGEIF(SttcTable3[Inter-Electrode Distance],$B37,SttcTable3[STTC])</f>
        <v>#DIV/0!</v>
      </c>
      <c r="K37" s="2" t="s">
        <v>37</v>
      </c>
    </row>
    <row r="38" spans="1:11" x14ac:dyDescent="0.25">
      <c r="A38" s="4">
        <v>9.8994949366116654</v>
      </c>
      <c r="B38" s="4">
        <f t="shared" si="0"/>
        <v>1979.8989873223331</v>
      </c>
      <c r="C38" s="4" t="e">
        <f>AVERAGEIF(SttcTable3[Inter-Electrode Distance],$B38,SttcTable3[STTC])</f>
        <v>#DIV/0!</v>
      </c>
      <c r="K38" s="2" t="s">
        <v>38</v>
      </c>
    </row>
    <row r="39" spans="1:11" x14ac:dyDescent="0.25">
      <c r="B39"/>
      <c r="K39" s="2" t="s">
        <v>39</v>
      </c>
    </row>
    <row r="40" spans="1:11" x14ac:dyDescent="0.25">
      <c r="B40"/>
      <c r="K40" s="2" t="s">
        <v>40</v>
      </c>
    </row>
    <row r="41" spans="1:11" x14ac:dyDescent="0.25">
      <c r="B41"/>
      <c r="K41" s="2" t="s">
        <v>41</v>
      </c>
    </row>
    <row r="42" spans="1:11" x14ac:dyDescent="0.25">
      <c r="B42"/>
      <c r="K42" s="2" t="s">
        <v>42</v>
      </c>
    </row>
    <row r="43" spans="1:11" x14ac:dyDescent="0.25">
      <c r="B43"/>
      <c r="K43" s="2" t="s">
        <v>43</v>
      </c>
    </row>
    <row r="44" spans="1:11" x14ac:dyDescent="0.25">
      <c r="B44"/>
      <c r="K44" s="2" t="s">
        <v>44</v>
      </c>
    </row>
    <row r="45" spans="1:11" x14ac:dyDescent="0.25">
      <c r="B45"/>
      <c r="K45" s="2" t="s">
        <v>45</v>
      </c>
    </row>
    <row r="46" spans="1:11" x14ac:dyDescent="0.25">
      <c r="B46"/>
      <c r="K46" s="2" t="s">
        <v>46</v>
      </c>
    </row>
    <row r="47" spans="1:11" x14ac:dyDescent="0.25">
      <c r="B47"/>
      <c r="K47" s="2" t="s">
        <v>47</v>
      </c>
    </row>
    <row r="48" spans="1:11" x14ac:dyDescent="0.25">
      <c r="B48"/>
      <c r="K48" s="2" t="s">
        <v>48</v>
      </c>
    </row>
    <row r="49" spans="2:11" x14ac:dyDescent="0.25">
      <c r="B49"/>
      <c r="K49" s="2" t="s">
        <v>49</v>
      </c>
    </row>
    <row r="50" spans="2:11" x14ac:dyDescent="0.25">
      <c r="B50"/>
      <c r="K50" s="2" t="s">
        <v>50</v>
      </c>
    </row>
    <row r="51" spans="2:11" x14ac:dyDescent="0.25">
      <c r="B51"/>
      <c r="K51" s="2" t="s">
        <v>51</v>
      </c>
    </row>
    <row r="52" spans="2:11" x14ac:dyDescent="0.25">
      <c r="B52"/>
      <c r="K52" s="2" t="s">
        <v>52</v>
      </c>
    </row>
    <row r="53" spans="2:11" x14ac:dyDescent="0.25">
      <c r="B53"/>
      <c r="K53" s="2" t="s">
        <v>53</v>
      </c>
    </row>
    <row r="54" spans="2:11" x14ac:dyDescent="0.25">
      <c r="B54"/>
      <c r="K54" s="2" t="s">
        <v>54</v>
      </c>
    </row>
    <row r="55" spans="2:11" x14ac:dyDescent="0.25">
      <c r="B55"/>
      <c r="K55" s="2" t="s">
        <v>55</v>
      </c>
    </row>
    <row r="56" spans="2:11" x14ac:dyDescent="0.25">
      <c r="B56"/>
      <c r="K56" s="2" t="s">
        <v>56</v>
      </c>
    </row>
    <row r="57" spans="2:11" x14ac:dyDescent="0.25">
      <c r="B57"/>
      <c r="K57" s="2" t="s">
        <v>57</v>
      </c>
    </row>
    <row r="58" spans="2:11" x14ac:dyDescent="0.25">
      <c r="B58"/>
      <c r="K58" s="2" t="s">
        <v>58</v>
      </c>
    </row>
    <row r="59" spans="2:11" x14ac:dyDescent="0.25">
      <c r="B59"/>
      <c r="K59" s="2" t="s">
        <v>59</v>
      </c>
    </row>
    <row r="60" spans="2:11" x14ac:dyDescent="0.25">
      <c r="B60"/>
      <c r="K60" s="2" t="s">
        <v>60</v>
      </c>
    </row>
    <row r="61" spans="2:11" x14ac:dyDescent="0.25">
      <c r="B61"/>
      <c r="K61" s="2" t="s">
        <v>61</v>
      </c>
    </row>
    <row r="62" spans="2:11" x14ac:dyDescent="0.25">
      <c r="B62"/>
      <c r="K62" s="2" t="s">
        <v>62</v>
      </c>
    </row>
    <row r="63" spans="2:11" x14ac:dyDescent="0.25">
      <c r="B63"/>
      <c r="K63" s="2" t="s">
        <v>63</v>
      </c>
    </row>
    <row r="64" spans="2:11" x14ac:dyDescent="0.25">
      <c r="B64"/>
      <c r="K64" s="2" t="s">
        <v>64</v>
      </c>
    </row>
    <row r="65" spans="2:11" x14ac:dyDescent="0.25">
      <c r="B65"/>
      <c r="K65" s="2" t="s">
        <v>65</v>
      </c>
    </row>
    <row r="66" spans="2:11" x14ac:dyDescent="0.25">
      <c r="B66"/>
      <c r="K66" s="2" t="s">
        <v>66</v>
      </c>
    </row>
    <row r="67" spans="2:11" x14ac:dyDescent="0.25">
      <c r="B67"/>
      <c r="K67" s="2" t="s">
        <v>67</v>
      </c>
    </row>
    <row r="68" spans="2:11" x14ac:dyDescent="0.25">
      <c r="B68"/>
      <c r="K68" s="2" t="s">
        <v>68</v>
      </c>
    </row>
    <row r="69" spans="2:11" x14ac:dyDescent="0.25">
      <c r="B69"/>
      <c r="K69" s="2" t="s">
        <v>69</v>
      </c>
    </row>
    <row r="70" spans="2:11" x14ac:dyDescent="0.25">
      <c r="B70"/>
    </row>
    <row r="71" spans="2:11" x14ac:dyDescent="0.25">
      <c r="B71"/>
    </row>
    <row r="72" spans="2:11" x14ac:dyDescent="0.25">
      <c r="B72"/>
    </row>
    <row r="73" spans="2:11" x14ac:dyDescent="0.25">
      <c r="B73"/>
    </row>
    <row r="74" spans="2:11" x14ac:dyDescent="0.25">
      <c r="B74"/>
    </row>
    <row r="75" spans="2:11" x14ac:dyDescent="0.25">
      <c r="B75"/>
    </row>
    <row r="76" spans="2:11" x14ac:dyDescent="0.25">
      <c r="B76"/>
    </row>
    <row r="77" spans="2:11" x14ac:dyDescent="0.25">
      <c r="B77"/>
    </row>
    <row r="78" spans="2:11" x14ac:dyDescent="0.25">
      <c r="B78"/>
    </row>
    <row r="79" spans="2:11" x14ac:dyDescent="0.25">
      <c r="B79"/>
    </row>
    <row r="80" spans="2:11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</sheetData>
  <conditionalFormatting sqref="L6:BW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WriteChannelData.WriteChannelData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W2021"/>
  <sheetViews>
    <sheetView workbookViewId="0">
      <selection activeCell="L6" sqref="L6"/>
    </sheetView>
  </sheetViews>
  <sheetFormatPr defaultRowHeight="15" x14ac:dyDescent="0.25"/>
  <cols>
    <col min="1" max="1" width="12.7109375" style="1" bestFit="1" customWidth="1"/>
    <col min="2" max="2" width="9.140625" style="1"/>
    <col min="3" max="3" width="10.5703125" style="1" bestFit="1" customWidth="1"/>
    <col min="4" max="5" width="9.140625" style="1"/>
    <col min="6" max="7" width="16" style="1" bestFit="1" customWidth="1"/>
    <col min="8" max="8" width="27.42578125" style="1" bestFit="1" customWidth="1"/>
    <col min="9" max="9" width="9.7109375" style="1" bestFit="1" customWidth="1"/>
    <col min="10" max="16384" width="9.140625" style="1"/>
  </cols>
  <sheetData>
    <row r="1" spans="1:75" x14ac:dyDescent="0.25">
      <c r="A1" s="6" t="s">
        <v>77</v>
      </c>
    </row>
    <row r="2" spans="1:75" x14ac:dyDescent="0.25">
      <c r="A2" s="1">
        <v>200</v>
      </c>
    </row>
    <row r="3" spans="1:75" ht="18.75" x14ac:dyDescent="0.25">
      <c r="L3" s="5" t="s">
        <v>70</v>
      </c>
    </row>
    <row r="5" spans="1:75" x14ac:dyDescent="0.25">
      <c r="A5" s="2" t="s">
        <v>76</v>
      </c>
      <c r="B5" s="2" t="s">
        <v>71</v>
      </c>
      <c r="C5" s="2" t="s">
        <v>72</v>
      </c>
      <c r="F5" s="2" t="s">
        <v>5</v>
      </c>
      <c r="G5" s="2" t="s">
        <v>4</v>
      </c>
      <c r="H5" s="1" t="s">
        <v>3</v>
      </c>
      <c r="I5" s="1" t="s">
        <v>2</v>
      </c>
      <c r="L5" s="2" t="s">
        <v>6</v>
      </c>
      <c r="M5" s="2" t="s">
        <v>7</v>
      </c>
      <c r="N5" s="2" t="s">
        <v>8</v>
      </c>
      <c r="O5" s="2" t="s">
        <v>9</v>
      </c>
      <c r="P5" s="2" t="s">
        <v>10</v>
      </c>
      <c r="Q5" s="2" t="s">
        <v>11</v>
      </c>
      <c r="R5" s="2" t="s">
        <v>12</v>
      </c>
      <c r="S5" s="2" t="s">
        <v>13</v>
      </c>
      <c r="T5" s="2" t="s">
        <v>14</v>
      </c>
      <c r="U5" s="2" t="s">
        <v>15</v>
      </c>
      <c r="V5" s="2" t="s">
        <v>16</v>
      </c>
      <c r="W5" s="2" t="s">
        <v>17</v>
      </c>
      <c r="X5" s="2" t="s">
        <v>18</v>
      </c>
      <c r="Y5" s="2" t="s">
        <v>19</v>
      </c>
      <c r="Z5" s="2" t="s">
        <v>20</v>
      </c>
      <c r="AA5" s="2" t="s">
        <v>21</v>
      </c>
      <c r="AB5" s="2" t="s">
        <v>22</v>
      </c>
      <c r="AC5" s="2" t="s">
        <v>23</v>
      </c>
      <c r="AD5" s="2" t="s">
        <v>24</v>
      </c>
      <c r="AE5" s="2" t="s">
        <v>25</v>
      </c>
      <c r="AF5" s="2" t="s">
        <v>26</v>
      </c>
      <c r="AG5" s="2" t="s">
        <v>27</v>
      </c>
      <c r="AH5" s="2" t="s">
        <v>28</v>
      </c>
      <c r="AI5" s="2" t="s">
        <v>29</v>
      </c>
      <c r="AJ5" s="2" t="s">
        <v>30</v>
      </c>
      <c r="AK5" s="2" t="s">
        <v>31</v>
      </c>
      <c r="AL5" s="2" t="s">
        <v>32</v>
      </c>
      <c r="AM5" s="2" t="s">
        <v>33</v>
      </c>
      <c r="AN5" s="2" t="s">
        <v>34</v>
      </c>
      <c r="AO5" s="2" t="s">
        <v>35</v>
      </c>
      <c r="AP5" s="2" t="s">
        <v>36</v>
      </c>
      <c r="AQ5" s="2" t="s">
        <v>37</v>
      </c>
      <c r="AR5" s="2" t="s">
        <v>38</v>
      </c>
      <c r="AS5" s="2" t="s">
        <v>39</v>
      </c>
      <c r="AT5" s="2" t="s">
        <v>40</v>
      </c>
      <c r="AU5" s="2" t="s">
        <v>41</v>
      </c>
      <c r="AV5" s="2" t="s">
        <v>42</v>
      </c>
      <c r="AW5" s="2" t="s">
        <v>43</v>
      </c>
      <c r="AX5" s="2" t="s">
        <v>44</v>
      </c>
      <c r="AY5" s="2" t="s">
        <v>45</v>
      </c>
      <c r="AZ5" s="2" t="s">
        <v>46</v>
      </c>
      <c r="BA5" s="2" t="s">
        <v>47</v>
      </c>
      <c r="BB5" s="2" t="s">
        <v>48</v>
      </c>
      <c r="BC5" s="2" t="s">
        <v>49</v>
      </c>
      <c r="BD5" s="2" t="s">
        <v>50</v>
      </c>
      <c r="BE5" s="2" t="s">
        <v>51</v>
      </c>
      <c r="BF5" s="2" t="s">
        <v>52</v>
      </c>
      <c r="BG5" s="2" t="s">
        <v>53</v>
      </c>
      <c r="BH5" s="2" t="s">
        <v>54</v>
      </c>
      <c r="BI5" s="2" t="s">
        <v>55</v>
      </c>
      <c r="BJ5" s="2" t="s">
        <v>56</v>
      </c>
      <c r="BK5" s="2" t="s">
        <v>57</v>
      </c>
      <c r="BL5" s="2" t="s">
        <v>58</v>
      </c>
      <c r="BM5" s="2" t="s">
        <v>59</v>
      </c>
      <c r="BN5" s="2" t="s">
        <v>60</v>
      </c>
      <c r="BO5" s="2" t="s">
        <v>61</v>
      </c>
      <c r="BP5" s="2" t="s">
        <v>62</v>
      </c>
      <c r="BQ5" s="2" t="s">
        <v>63</v>
      </c>
      <c r="BR5" s="2" t="s">
        <v>64</v>
      </c>
      <c r="BS5" s="2" t="s">
        <v>65</v>
      </c>
      <c r="BT5" s="2" t="s">
        <v>66</v>
      </c>
      <c r="BU5" s="2" t="s">
        <v>67</v>
      </c>
      <c r="BV5" s="2" t="s">
        <v>68</v>
      </c>
      <c r="BW5" s="2" t="s">
        <v>69</v>
      </c>
    </row>
    <row r="6" spans="1:75" x14ac:dyDescent="0.25">
      <c r="A6" s="4">
        <v>1</v>
      </c>
      <c r="B6" s="4">
        <f t="shared" ref="B6:B38" si="0">$A6*$A$2</f>
        <v>200</v>
      </c>
      <c r="C6" s="4" t="e">
        <f>AVERAGEIF(SttcTable35[Inter-Electrode Distance],$B6,SttcTable35[STTC])</f>
        <v>#DIV/0!</v>
      </c>
      <c r="F6" s="3"/>
      <c r="G6" s="3"/>
      <c r="H6" s="4"/>
      <c r="I6" s="4"/>
      <c r="K6" s="2" t="s">
        <v>6</v>
      </c>
    </row>
    <row r="7" spans="1:75" x14ac:dyDescent="0.25">
      <c r="A7" s="4">
        <v>2</v>
      </c>
      <c r="B7" s="4">
        <f t="shared" si="0"/>
        <v>400</v>
      </c>
      <c r="C7" s="4" t="e">
        <f>AVERAGEIF(SttcTable35[Inter-Electrode Distance],$B7,SttcTable35[STTC])</f>
        <v>#DIV/0!</v>
      </c>
      <c r="K7" s="2" t="s">
        <v>7</v>
      </c>
    </row>
    <row r="8" spans="1:75" x14ac:dyDescent="0.25">
      <c r="A8" s="4">
        <v>3</v>
      </c>
      <c r="B8" s="4">
        <f t="shared" si="0"/>
        <v>600</v>
      </c>
      <c r="C8" s="4" t="e">
        <f>AVERAGEIF(SttcTable35[Inter-Electrode Distance],$B8,SttcTable35[STTC])</f>
        <v>#DIV/0!</v>
      </c>
      <c r="K8" s="2" t="s">
        <v>8</v>
      </c>
    </row>
    <row r="9" spans="1:75" x14ac:dyDescent="0.25">
      <c r="A9" s="4">
        <v>4</v>
      </c>
      <c r="B9" s="4">
        <f t="shared" si="0"/>
        <v>800</v>
      </c>
      <c r="C9" s="4" t="e">
        <f>AVERAGEIF(SttcTable35[Inter-Electrode Distance],$B9,SttcTable35[STTC])</f>
        <v>#DIV/0!</v>
      </c>
      <c r="K9" s="2" t="s">
        <v>9</v>
      </c>
    </row>
    <row r="10" spans="1:75" x14ac:dyDescent="0.25">
      <c r="A10" s="4">
        <v>5</v>
      </c>
      <c r="B10" s="4">
        <f t="shared" si="0"/>
        <v>1000</v>
      </c>
      <c r="C10" s="4" t="e">
        <f>AVERAGEIF(SttcTable35[Inter-Electrode Distance],$B10,SttcTable35[STTC])</f>
        <v>#DIV/0!</v>
      </c>
      <c r="K10" s="2" t="s">
        <v>10</v>
      </c>
    </row>
    <row r="11" spans="1:75" x14ac:dyDescent="0.25">
      <c r="A11" s="4">
        <v>6</v>
      </c>
      <c r="B11" s="4">
        <f t="shared" si="0"/>
        <v>1200</v>
      </c>
      <c r="C11" s="4" t="e">
        <f>AVERAGEIF(SttcTable35[Inter-Electrode Distance],$B11,SttcTable35[STTC])</f>
        <v>#DIV/0!</v>
      </c>
      <c r="K11" s="2" t="s">
        <v>11</v>
      </c>
    </row>
    <row r="12" spans="1:75" x14ac:dyDescent="0.25">
      <c r="A12" s="4">
        <v>7</v>
      </c>
      <c r="B12" s="4">
        <f t="shared" si="0"/>
        <v>1400</v>
      </c>
      <c r="C12" s="4" t="e">
        <f>AVERAGEIF(SttcTable35[Inter-Electrode Distance],$B12,SttcTable35[STTC])</f>
        <v>#DIV/0!</v>
      </c>
      <c r="K12" s="2" t="s">
        <v>12</v>
      </c>
    </row>
    <row r="13" spans="1:75" x14ac:dyDescent="0.25">
      <c r="A13" s="4">
        <v>1.4142135623730951</v>
      </c>
      <c r="B13" s="4">
        <f t="shared" si="0"/>
        <v>282.84271247461902</v>
      </c>
      <c r="C13" s="4" t="e">
        <f>AVERAGEIF(SttcTable35[Inter-Electrode Distance],$B13,SttcTable35[STTC])</f>
        <v>#DIV/0!</v>
      </c>
      <c r="K13" s="2" t="s">
        <v>13</v>
      </c>
    </row>
    <row r="14" spans="1:75" x14ac:dyDescent="0.25">
      <c r="A14" s="4">
        <v>2.2360679774997898</v>
      </c>
      <c r="B14" s="4">
        <f t="shared" si="0"/>
        <v>447.21359549995793</v>
      </c>
      <c r="C14" s="4" t="e">
        <f>AVERAGEIF(SttcTable35[Inter-Electrode Distance],$B14,SttcTable35[STTC])</f>
        <v>#DIV/0!</v>
      </c>
      <c r="K14" s="2" t="s">
        <v>14</v>
      </c>
    </row>
    <row r="15" spans="1:75" x14ac:dyDescent="0.25">
      <c r="A15" s="4">
        <v>3.1622776601683795</v>
      </c>
      <c r="B15" s="4">
        <f t="shared" si="0"/>
        <v>632.45553203367592</v>
      </c>
      <c r="C15" s="4" t="e">
        <f>AVERAGEIF(SttcTable35[Inter-Electrode Distance],$B15,SttcTable35[STTC])</f>
        <v>#DIV/0!</v>
      </c>
      <c r="K15" s="2" t="s">
        <v>15</v>
      </c>
    </row>
    <row r="16" spans="1:75" x14ac:dyDescent="0.25">
      <c r="A16" s="4">
        <v>4.1231056256176606</v>
      </c>
      <c r="B16" s="4">
        <f t="shared" si="0"/>
        <v>824.62112512353212</v>
      </c>
      <c r="C16" s="4" t="e">
        <f>AVERAGEIF(SttcTable35[Inter-Electrode Distance],$B16,SttcTable35[STTC])</f>
        <v>#DIV/0!</v>
      </c>
      <c r="K16" s="2" t="s">
        <v>16</v>
      </c>
    </row>
    <row r="17" spans="1:11" x14ac:dyDescent="0.25">
      <c r="A17" s="4">
        <v>5.0990195135927845</v>
      </c>
      <c r="B17" s="4">
        <f t="shared" si="0"/>
        <v>1019.8039027185569</v>
      </c>
      <c r="C17" s="4" t="e">
        <f>AVERAGEIF(SttcTable35[Inter-Electrode Distance],$B17,SttcTable35[STTC])</f>
        <v>#DIV/0!</v>
      </c>
      <c r="K17" s="2" t="s">
        <v>17</v>
      </c>
    </row>
    <row r="18" spans="1:11" x14ac:dyDescent="0.25">
      <c r="A18" s="4">
        <v>6.0827625302982202</v>
      </c>
      <c r="B18" s="4">
        <f t="shared" si="0"/>
        <v>1216.552506059644</v>
      </c>
      <c r="C18" s="4" t="e">
        <f>AVERAGEIF(SttcTable35[Inter-Electrode Distance],$B18,SttcTable35[STTC])</f>
        <v>#DIV/0!</v>
      </c>
      <c r="K18" s="2" t="s">
        <v>18</v>
      </c>
    </row>
    <row r="19" spans="1:11" x14ac:dyDescent="0.25">
      <c r="A19" s="4">
        <v>7.0710678118654755</v>
      </c>
      <c r="B19" s="4">
        <f t="shared" si="0"/>
        <v>1414.2135623730951</v>
      </c>
      <c r="C19" s="4" t="e">
        <f>AVERAGEIF(SttcTable35[Inter-Electrode Distance],$B19,SttcTable35[STTC])</f>
        <v>#DIV/0!</v>
      </c>
      <c r="K19" s="2" t="s">
        <v>19</v>
      </c>
    </row>
    <row r="20" spans="1:11" x14ac:dyDescent="0.25">
      <c r="A20" s="4">
        <v>2.8284271247461903</v>
      </c>
      <c r="B20" s="4">
        <f t="shared" si="0"/>
        <v>565.68542494923804</v>
      </c>
      <c r="C20" s="4" t="e">
        <f>AVERAGEIF(SttcTable35[Inter-Electrode Distance],$B20,SttcTable35[STTC])</f>
        <v>#DIV/0!</v>
      </c>
      <c r="K20" s="2" t="s">
        <v>20</v>
      </c>
    </row>
    <row r="21" spans="1:11" x14ac:dyDescent="0.25">
      <c r="A21" s="4">
        <v>3.6055512754639891</v>
      </c>
      <c r="B21" s="4">
        <f t="shared" si="0"/>
        <v>721.11025509279784</v>
      </c>
      <c r="C21" s="4" t="e">
        <f>AVERAGEIF(SttcTable35[Inter-Electrode Distance],$B21,SttcTable35[STTC])</f>
        <v>#DIV/0!</v>
      </c>
      <c r="K21" s="2" t="s">
        <v>21</v>
      </c>
    </row>
    <row r="22" spans="1:11" x14ac:dyDescent="0.25">
      <c r="A22" s="4">
        <v>4.4721359549995796</v>
      </c>
      <c r="B22" s="4">
        <f t="shared" si="0"/>
        <v>894.42719099991587</v>
      </c>
      <c r="C22" s="4" t="e">
        <f>AVERAGEIF(SttcTable35[Inter-Electrode Distance],$B22,SttcTable35[STTC])</f>
        <v>#DIV/0!</v>
      </c>
      <c r="K22" s="2" t="s">
        <v>22</v>
      </c>
    </row>
    <row r="23" spans="1:11" x14ac:dyDescent="0.25">
      <c r="A23" s="4">
        <v>5.3851648071345037</v>
      </c>
      <c r="B23" s="4">
        <f t="shared" si="0"/>
        <v>1077.0329614269008</v>
      </c>
      <c r="C23" s="4" t="e">
        <f>AVERAGEIF(SttcTable35[Inter-Electrode Distance],$B23,SttcTable35[STTC])</f>
        <v>#DIV/0!</v>
      </c>
      <c r="K23" s="2" t="s">
        <v>23</v>
      </c>
    </row>
    <row r="24" spans="1:11" x14ac:dyDescent="0.25">
      <c r="A24" s="4">
        <v>6.324555320336759</v>
      </c>
      <c r="B24" s="4">
        <f t="shared" si="0"/>
        <v>1264.9110640673518</v>
      </c>
      <c r="C24" s="4" t="e">
        <f>AVERAGEIF(SttcTable35[Inter-Electrode Distance],$B24,SttcTable35[STTC])</f>
        <v>#DIV/0!</v>
      </c>
      <c r="K24" s="2" t="s">
        <v>24</v>
      </c>
    </row>
    <row r="25" spans="1:11" x14ac:dyDescent="0.25">
      <c r="A25" s="4">
        <v>7.2801098892805181</v>
      </c>
      <c r="B25" s="4">
        <f t="shared" si="0"/>
        <v>1456.0219778561036</v>
      </c>
      <c r="C25" s="4" t="e">
        <f>AVERAGEIF(SttcTable35[Inter-Electrode Distance],$B25,SttcTable35[STTC])</f>
        <v>#DIV/0!</v>
      </c>
      <c r="K25" s="2" t="s">
        <v>25</v>
      </c>
    </row>
    <row r="26" spans="1:11" x14ac:dyDescent="0.25">
      <c r="A26" s="4">
        <v>4.2426406871192848</v>
      </c>
      <c r="B26" s="4">
        <f t="shared" si="0"/>
        <v>848.52813742385695</v>
      </c>
      <c r="C26" s="4" t="e">
        <f>AVERAGEIF(SttcTable35[Inter-Electrode Distance],$B26,SttcTable35[STTC])</f>
        <v>#DIV/0!</v>
      </c>
      <c r="K26" s="2" t="s">
        <v>26</v>
      </c>
    </row>
    <row r="27" spans="1:11" x14ac:dyDescent="0.25">
      <c r="A27" s="4">
        <v>5.8309518948453016</v>
      </c>
      <c r="B27" s="4">
        <f t="shared" si="0"/>
        <v>1166.1903789690602</v>
      </c>
      <c r="C27" s="4" t="e">
        <f>AVERAGEIF(SttcTable35[Inter-Electrode Distance],$B27,SttcTable35[STTC])</f>
        <v>#DIV/0!</v>
      </c>
      <c r="K27" s="2" t="s">
        <v>27</v>
      </c>
    </row>
    <row r="28" spans="1:11" x14ac:dyDescent="0.25">
      <c r="A28" s="4">
        <v>6.7082039324993694</v>
      </c>
      <c r="B28" s="4">
        <f t="shared" si="0"/>
        <v>1341.6407864998739</v>
      </c>
      <c r="C28" s="4" t="e">
        <f>AVERAGEIF(SttcTable35[Inter-Electrode Distance],$B28,SttcTable35[STTC])</f>
        <v>#DIV/0!</v>
      </c>
      <c r="K28" s="2" t="s">
        <v>28</v>
      </c>
    </row>
    <row r="29" spans="1:11" x14ac:dyDescent="0.25">
      <c r="A29" s="4">
        <v>7.6157731058639095</v>
      </c>
      <c r="B29" s="4">
        <f t="shared" si="0"/>
        <v>1523.1546211727818</v>
      </c>
      <c r="C29" s="4" t="e">
        <f>AVERAGEIF(SttcTable35[Inter-Electrode Distance],$B29,SttcTable35[STTC])</f>
        <v>#DIV/0!</v>
      </c>
      <c r="K29" s="2" t="s">
        <v>29</v>
      </c>
    </row>
    <row r="30" spans="1:11" x14ac:dyDescent="0.25">
      <c r="A30" s="4">
        <v>5.6568542494923806</v>
      </c>
      <c r="B30" s="4">
        <f t="shared" si="0"/>
        <v>1131.3708498984761</v>
      </c>
      <c r="C30" s="4" t="e">
        <f>AVERAGEIF(SttcTable35[Inter-Electrode Distance],$B30,SttcTable35[STTC])</f>
        <v>#DIV/0!</v>
      </c>
      <c r="K30" s="2" t="s">
        <v>30</v>
      </c>
    </row>
    <row r="31" spans="1:11" x14ac:dyDescent="0.25">
      <c r="A31" s="4">
        <v>6.4031242374328485</v>
      </c>
      <c r="B31" s="4">
        <f t="shared" si="0"/>
        <v>1280.6248474865697</v>
      </c>
      <c r="C31" s="4" t="e">
        <f>AVERAGEIF(SttcTable35[Inter-Electrode Distance],$B31,SttcTable35[STTC])</f>
        <v>#DIV/0!</v>
      </c>
      <c r="K31" s="2" t="s">
        <v>31</v>
      </c>
    </row>
    <row r="32" spans="1:11" x14ac:dyDescent="0.25">
      <c r="A32" s="4">
        <v>7.2111025509279782</v>
      </c>
      <c r="B32" s="4">
        <f t="shared" si="0"/>
        <v>1442.2205101855957</v>
      </c>
      <c r="C32" s="4" t="e">
        <f>AVERAGEIF(SttcTable35[Inter-Electrode Distance],$B32,SttcTable35[STTC])</f>
        <v>#DIV/0!</v>
      </c>
      <c r="K32" s="2" t="s">
        <v>32</v>
      </c>
    </row>
    <row r="33" spans="1:11" x14ac:dyDescent="0.25">
      <c r="A33" s="4">
        <v>8.0622577482985491</v>
      </c>
      <c r="B33" s="4">
        <f t="shared" si="0"/>
        <v>1612.4515496597098</v>
      </c>
      <c r="C33" s="4" t="e">
        <f>AVERAGEIF(SttcTable35[Inter-Electrode Distance],$B33,SttcTable35[STTC])</f>
        <v>#DIV/0!</v>
      </c>
      <c r="K33" s="2" t="s">
        <v>33</v>
      </c>
    </row>
    <row r="34" spans="1:11" x14ac:dyDescent="0.25">
      <c r="A34" s="4">
        <v>7.810249675906654</v>
      </c>
      <c r="B34" s="4">
        <f t="shared" si="0"/>
        <v>1562.0499351813307</v>
      </c>
      <c r="C34" s="4" t="e">
        <f>AVERAGEIF(SttcTable35[Inter-Electrode Distance],$B34,SttcTable35[STTC])</f>
        <v>#DIV/0!</v>
      </c>
      <c r="K34" s="2" t="s">
        <v>34</v>
      </c>
    </row>
    <row r="35" spans="1:11" x14ac:dyDescent="0.25">
      <c r="A35" s="4">
        <v>8.6023252670426267</v>
      </c>
      <c r="B35" s="4">
        <f t="shared" si="0"/>
        <v>1720.4650534085254</v>
      </c>
      <c r="C35" s="4" t="e">
        <f>AVERAGEIF(SttcTable35[Inter-Electrode Distance],$B35,SttcTable35[STTC])</f>
        <v>#DIV/0!</v>
      </c>
      <c r="K35" s="2" t="s">
        <v>35</v>
      </c>
    </row>
    <row r="36" spans="1:11" x14ac:dyDescent="0.25">
      <c r="A36" s="4">
        <v>8.4852813742385695</v>
      </c>
      <c r="B36" s="4">
        <f t="shared" si="0"/>
        <v>1697.0562748477139</v>
      </c>
      <c r="C36" s="4" t="e">
        <f>AVERAGEIF(SttcTable35[Inter-Electrode Distance],$B36,SttcTable35[STTC])</f>
        <v>#DIV/0!</v>
      </c>
      <c r="K36" s="2" t="s">
        <v>36</v>
      </c>
    </row>
    <row r="37" spans="1:11" x14ac:dyDescent="0.25">
      <c r="A37" s="4">
        <v>9.2195444572928871</v>
      </c>
      <c r="B37" s="4">
        <f t="shared" si="0"/>
        <v>1843.9088914585775</v>
      </c>
      <c r="C37" s="4" t="e">
        <f>AVERAGEIF(SttcTable35[Inter-Electrode Distance],$B37,SttcTable35[STTC])</f>
        <v>#DIV/0!</v>
      </c>
      <c r="K37" s="2" t="s">
        <v>37</v>
      </c>
    </row>
    <row r="38" spans="1:11" x14ac:dyDescent="0.25">
      <c r="A38" s="4">
        <v>9.8994949366116654</v>
      </c>
      <c r="B38" s="4">
        <f t="shared" si="0"/>
        <v>1979.8989873223331</v>
      </c>
      <c r="C38" s="4" t="e">
        <f>AVERAGEIF(SttcTable35[Inter-Electrode Distance],$B38,SttcTable35[STTC])</f>
        <v>#DIV/0!</v>
      </c>
      <c r="K38" s="2" t="s">
        <v>38</v>
      </c>
    </row>
    <row r="39" spans="1:11" x14ac:dyDescent="0.25">
      <c r="B39"/>
      <c r="K39" s="2" t="s">
        <v>39</v>
      </c>
    </row>
    <row r="40" spans="1:11" x14ac:dyDescent="0.25">
      <c r="B40"/>
      <c r="K40" s="2" t="s">
        <v>40</v>
      </c>
    </row>
    <row r="41" spans="1:11" x14ac:dyDescent="0.25">
      <c r="B41"/>
      <c r="K41" s="2" t="s">
        <v>41</v>
      </c>
    </row>
    <row r="42" spans="1:11" x14ac:dyDescent="0.25">
      <c r="B42"/>
      <c r="K42" s="2" t="s">
        <v>42</v>
      </c>
    </row>
    <row r="43" spans="1:11" x14ac:dyDescent="0.25">
      <c r="B43"/>
      <c r="K43" s="2" t="s">
        <v>43</v>
      </c>
    </row>
    <row r="44" spans="1:11" x14ac:dyDescent="0.25">
      <c r="B44"/>
      <c r="K44" s="2" t="s">
        <v>44</v>
      </c>
    </row>
    <row r="45" spans="1:11" x14ac:dyDescent="0.25">
      <c r="B45"/>
      <c r="K45" s="2" t="s">
        <v>45</v>
      </c>
    </row>
    <row r="46" spans="1:11" x14ac:dyDescent="0.25">
      <c r="B46"/>
      <c r="K46" s="2" t="s">
        <v>46</v>
      </c>
    </row>
    <row r="47" spans="1:11" x14ac:dyDescent="0.25">
      <c r="B47"/>
      <c r="K47" s="2" t="s">
        <v>47</v>
      </c>
    </row>
    <row r="48" spans="1:11" x14ac:dyDescent="0.25">
      <c r="B48"/>
      <c r="K48" s="2" t="s">
        <v>48</v>
      </c>
    </row>
    <row r="49" spans="2:11" x14ac:dyDescent="0.25">
      <c r="B49"/>
      <c r="K49" s="2" t="s">
        <v>49</v>
      </c>
    </row>
    <row r="50" spans="2:11" x14ac:dyDescent="0.25">
      <c r="B50"/>
      <c r="K50" s="2" t="s">
        <v>50</v>
      </c>
    </row>
    <row r="51" spans="2:11" x14ac:dyDescent="0.25">
      <c r="B51"/>
      <c r="K51" s="2" t="s">
        <v>51</v>
      </c>
    </row>
    <row r="52" spans="2:11" x14ac:dyDescent="0.25">
      <c r="B52"/>
      <c r="K52" s="2" t="s">
        <v>52</v>
      </c>
    </row>
    <row r="53" spans="2:11" x14ac:dyDescent="0.25">
      <c r="B53"/>
      <c r="K53" s="2" t="s">
        <v>53</v>
      </c>
    </row>
    <row r="54" spans="2:11" x14ac:dyDescent="0.25">
      <c r="B54"/>
      <c r="K54" s="2" t="s">
        <v>54</v>
      </c>
    </row>
    <row r="55" spans="2:11" x14ac:dyDescent="0.25">
      <c r="B55"/>
      <c r="K55" s="2" t="s">
        <v>55</v>
      </c>
    </row>
    <row r="56" spans="2:11" x14ac:dyDescent="0.25">
      <c r="B56"/>
      <c r="K56" s="2" t="s">
        <v>56</v>
      </c>
    </row>
    <row r="57" spans="2:11" x14ac:dyDescent="0.25">
      <c r="B57"/>
      <c r="K57" s="2" t="s">
        <v>57</v>
      </c>
    </row>
    <row r="58" spans="2:11" x14ac:dyDescent="0.25">
      <c r="B58"/>
      <c r="K58" s="2" t="s">
        <v>58</v>
      </c>
    </row>
    <row r="59" spans="2:11" x14ac:dyDescent="0.25">
      <c r="B59"/>
      <c r="K59" s="2" t="s">
        <v>59</v>
      </c>
    </row>
    <row r="60" spans="2:11" x14ac:dyDescent="0.25">
      <c r="B60"/>
      <c r="K60" s="2" t="s">
        <v>60</v>
      </c>
    </row>
    <row r="61" spans="2:11" x14ac:dyDescent="0.25">
      <c r="B61"/>
      <c r="K61" s="2" t="s">
        <v>61</v>
      </c>
    </row>
    <row r="62" spans="2:11" x14ac:dyDescent="0.25">
      <c r="B62"/>
      <c r="K62" s="2" t="s">
        <v>62</v>
      </c>
    </row>
    <row r="63" spans="2:11" x14ac:dyDescent="0.25">
      <c r="B63"/>
      <c r="K63" s="2" t="s">
        <v>63</v>
      </c>
    </row>
    <row r="64" spans="2:11" x14ac:dyDescent="0.25">
      <c r="B64"/>
      <c r="K64" s="2" t="s">
        <v>64</v>
      </c>
    </row>
    <row r="65" spans="2:11" x14ac:dyDescent="0.25">
      <c r="B65"/>
      <c r="K65" s="2" t="s">
        <v>65</v>
      </c>
    </row>
    <row r="66" spans="2:11" x14ac:dyDescent="0.25">
      <c r="B66"/>
      <c r="K66" s="2" t="s">
        <v>66</v>
      </c>
    </row>
    <row r="67" spans="2:11" x14ac:dyDescent="0.25">
      <c r="B67"/>
      <c r="K67" s="2" t="s">
        <v>67</v>
      </c>
    </row>
    <row r="68" spans="2:11" x14ac:dyDescent="0.25">
      <c r="B68"/>
      <c r="K68" s="2" t="s">
        <v>68</v>
      </c>
    </row>
    <row r="69" spans="2:11" x14ac:dyDescent="0.25">
      <c r="B69"/>
      <c r="K69" s="2" t="s">
        <v>69</v>
      </c>
    </row>
    <row r="70" spans="2:11" x14ac:dyDescent="0.25">
      <c r="B70"/>
    </row>
    <row r="71" spans="2:11" x14ac:dyDescent="0.25">
      <c r="B71"/>
    </row>
    <row r="72" spans="2:11" x14ac:dyDescent="0.25">
      <c r="B72"/>
    </row>
    <row r="73" spans="2:11" x14ac:dyDescent="0.25">
      <c r="B73"/>
    </row>
    <row r="74" spans="2:11" x14ac:dyDescent="0.25">
      <c r="B74"/>
    </row>
    <row r="75" spans="2:11" x14ac:dyDescent="0.25">
      <c r="B75"/>
    </row>
    <row r="76" spans="2:11" x14ac:dyDescent="0.25">
      <c r="B76"/>
    </row>
    <row r="77" spans="2:11" x14ac:dyDescent="0.25">
      <c r="B77"/>
    </row>
    <row r="78" spans="2:11" x14ac:dyDescent="0.25">
      <c r="B78"/>
    </row>
    <row r="79" spans="2:11" x14ac:dyDescent="0.25">
      <c r="B79"/>
    </row>
    <row r="80" spans="2:11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</sheetData>
  <conditionalFormatting sqref="L6:BW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WriteChannelData.WriteChannelData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W2021"/>
  <sheetViews>
    <sheetView workbookViewId="0">
      <selection activeCell="L6" sqref="L6"/>
    </sheetView>
  </sheetViews>
  <sheetFormatPr defaultRowHeight="15" x14ac:dyDescent="0.25"/>
  <cols>
    <col min="1" max="1" width="12.7109375" style="1" bestFit="1" customWidth="1"/>
    <col min="2" max="2" width="9.140625" style="1"/>
    <col min="3" max="3" width="10.5703125" style="1" bestFit="1" customWidth="1"/>
    <col min="4" max="5" width="9.140625" style="1"/>
    <col min="6" max="7" width="16" style="1" bestFit="1" customWidth="1"/>
    <col min="8" max="8" width="27.42578125" style="1" bestFit="1" customWidth="1"/>
    <col min="9" max="9" width="9.7109375" style="1" bestFit="1" customWidth="1"/>
    <col min="10" max="16384" width="9.140625" style="1"/>
  </cols>
  <sheetData>
    <row r="1" spans="1:75" x14ac:dyDescent="0.25">
      <c r="A1" s="6" t="s">
        <v>77</v>
      </c>
    </row>
    <row r="2" spans="1:75" x14ac:dyDescent="0.25">
      <c r="A2" s="1">
        <v>200</v>
      </c>
    </row>
    <row r="3" spans="1:75" ht="18.75" x14ac:dyDescent="0.25">
      <c r="L3" s="5" t="s">
        <v>70</v>
      </c>
    </row>
    <row r="5" spans="1:75" x14ac:dyDescent="0.25">
      <c r="A5" s="2" t="s">
        <v>76</v>
      </c>
      <c r="B5" s="2" t="s">
        <v>71</v>
      </c>
      <c r="C5" s="2" t="s">
        <v>72</v>
      </c>
      <c r="F5" s="2" t="s">
        <v>5</v>
      </c>
      <c r="G5" s="2" t="s">
        <v>4</v>
      </c>
      <c r="H5" s="1" t="s">
        <v>3</v>
      </c>
      <c r="I5" s="1" t="s">
        <v>2</v>
      </c>
      <c r="L5" s="2" t="s">
        <v>6</v>
      </c>
      <c r="M5" s="2" t="s">
        <v>7</v>
      </c>
      <c r="N5" s="2" t="s">
        <v>8</v>
      </c>
      <c r="O5" s="2" t="s">
        <v>9</v>
      </c>
      <c r="P5" s="2" t="s">
        <v>10</v>
      </c>
      <c r="Q5" s="2" t="s">
        <v>11</v>
      </c>
      <c r="R5" s="2" t="s">
        <v>12</v>
      </c>
      <c r="S5" s="2" t="s">
        <v>13</v>
      </c>
      <c r="T5" s="2" t="s">
        <v>14</v>
      </c>
      <c r="U5" s="2" t="s">
        <v>15</v>
      </c>
      <c r="V5" s="2" t="s">
        <v>16</v>
      </c>
      <c r="W5" s="2" t="s">
        <v>17</v>
      </c>
      <c r="X5" s="2" t="s">
        <v>18</v>
      </c>
      <c r="Y5" s="2" t="s">
        <v>19</v>
      </c>
      <c r="Z5" s="2" t="s">
        <v>20</v>
      </c>
      <c r="AA5" s="2" t="s">
        <v>21</v>
      </c>
      <c r="AB5" s="2" t="s">
        <v>22</v>
      </c>
      <c r="AC5" s="2" t="s">
        <v>23</v>
      </c>
      <c r="AD5" s="2" t="s">
        <v>24</v>
      </c>
      <c r="AE5" s="2" t="s">
        <v>25</v>
      </c>
      <c r="AF5" s="2" t="s">
        <v>26</v>
      </c>
      <c r="AG5" s="2" t="s">
        <v>27</v>
      </c>
      <c r="AH5" s="2" t="s">
        <v>28</v>
      </c>
      <c r="AI5" s="2" t="s">
        <v>29</v>
      </c>
      <c r="AJ5" s="2" t="s">
        <v>30</v>
      </c>
      <c r="AK5" s="2" t="s">
        <v>31</v>
      </c>
      <c r="AL5" s="2" t="s">
        <v>32</v>
      </c>
      <c r="AM5" s="2" t="s">
        <v>33</v>
      </c>
      <c r="AN5" s="2" t="s">
        <v>34</v>
      </c>
      <c r="AO5" s="2" t="s">
        <v>35</v>
      </c>
      <c r="AP5" s="2" t="s">
        <v>36</v>
      </c>
      <c r="AQ5" s="2" t="s">
        <v>37</v>
      </c>
      <c r="AR5" s="2" t="s">
        <v>38</v>
      </c>
      <c r="AS5" s="2" t="s">
        <v>39</v>
      </c>
      <c r="AT5" s="2" t="s">
        <v>40</v>
      </c>
      <c r="AU5" s="2" t="s">
        <v>41</v>
      </c>
      <c r="AV5" s="2" t="s">
        <v>42</v>
      </c>
      <c r="AW5" s="2" t="s">
        <v>43</v>
      </c>
      <c r="AX5" s="2" t="s">
        <v>44</v>
      </c>
      <c r="AY5" s="2" t="s">
        <v>45</v>
      </c>
      <c r="AZ5" s="2" t="s">
        <v>46</v>
      </c>
      <c r="BA5" s="2" t="s">
        <v>47</v>
      </c>
      <c r="BB5" s="2" t="s">
        <v>48</v>
      </c>
      <c r="BC5" s="2" t="s">
        <v>49</v>
      </c>
      <c r="BD5" s="2" t="s">
        <v>50</v>
      </c>
      <c r="BE5" s="2" t="s">
        <v>51</v>
      </c>
      <c r="BF5" s="2" t="s">
        <v>52</v>
      </c>
      <c r="BG5" s="2" t="s">
        <v>53</v>
      </c>
      <c r="BH5" s="2" t="s">
        <v>54</v>
      </c>
      <c r="BI5" s="2" t="s">
        <v>55</v>
      </c>
      <c r="BJ5" s="2" t="s">
        <v>56</v>
      </c>
      <c r="BK5" s="2" t="s">
        <v>57</v>
      </c>
      <c r="BL5" s="2" t="s">
        <v>58</v>
      </c>
      <c r="BM5" s="2" t="s">
        <v>59</v>
      </c>
      <c r="BN5" s="2" t="s">
        <v>60</v>
      </c>
      <c r="BO5" s="2" t="s">
        <v>61</v>
      </c>
      <c r="BP5" s="2" t="s">
        <v>62</v>
      </c>
      <c r="BQ5" s="2" t="s">
        <v>63</v>
      </c>
      <c r="BR5" s="2" t="s">
        <v>64</v>
      </c>
      <c r="BS5" s="2" t="s">
        <v>65</v>
      </c>
      <c r="BT5" s="2" t="s">
        <v>66</v>
      </c>
      <c r="BU5" s="2" t="s">
        <v>67</v>
      </c>
      <c r="BV5" s="2" t="s">
        <v>68</v>
      </c>
      <c r="BW5" s="2" t="s">
        <v>69</v>
      </c>
    </row>
    <row r="6" spans="1:75" x14ac:dyDescent="0.25">
      <c r="A6" s="4">
        <v>1</v>
      </c>
      <c r="B6" s="4">
        <f t="shared" ref="B6:B38" si="0">$A6*$A$2</f>
        <v>200</v>
      </c>
      <c r="C6" s="4" t="e">
        <f>AVERAGEIF(SttcTable356[Inter-Electrode Distance],$B6,SttcTable356[STTC])</f>
        <v>#DIV/0!</v>
      </c>
      <c r="F6" s="3"/>
      <c r="G6" s="3"/>
      <c r="H6" s="4"/>
      <c r="I6" s="4"/>
      <c r="K6" s="2" t="s">
        <v>6</v>
      </c>
    </row>
    <row r="7" spans="1:75" x14ac:dyDescent="0.25">
      <c r="A7" s="4">
        <v>2</v>
      </c>
      <c r="B7" s="4">
        <f t="shared" si="0"/>
        <v>400</v>
      </c>
      <c r="C7" s="4" t="e">
        <f>AVERAGEIF(SttcTable356[Inter-Electrode Distance],$B7,SttcTable356[STTC])</f>
        <v>#DIV/0!</v>
      </c>
      <c r="K7" s="2" t="s">
        <v>7</v>
      </c>
    </row>
    <row r="8" spans="1:75" x14ac:dyDescent="0.25">
      <c r="A8" s="4">
        <v>3</v>
      </c>
      <c r="B8" s="4">
        <f t="shared" si="0"/>
        <v>600</v>
      </c>
      <c r="C8" s="4" t="e">
        <f>AVERAGEIF(SttcTable356[Inter-Electrode Distance],$B8,SttcTable356[STTC])</f>
        <v>#DIV/0!</v>
      </c>
      <c r="K8" s="2" t="s">
        <v>8</v>
      </c>
    </row>
    <row r="9" spans="1:75" x14ac:dyDescent="0.25">
      <c r="A9" s="4">
        <v>4</v>
      </c>
      <c r="B9" s="4">
        <f t="shared" si="0"/>
        <v>800</v>
      </c>
      <c r="C9" s="4" t="e">
        <f>AVERAGEIF(SttcTable356[Inter-Electrode Distance],$B9,SttcTable356[STTC])</f>
        <v>#DIV/0!</v>
      </c>
      <c r="K9" s="2" t="s">
        <v>9</v>
      </c>
    </row>
    <row r="10" spans="1:75" x14ac:dyDescent="0.25">
      <c r="A10" s="4">
        <v>5</v>
      </c>
      <c r="B10" s="4">
        <f t="shared" si="0"/>
        <v>1000</v>
      </c>
      <c r="C10" s="4" t="e">
        <f>AVERAGEIF(SttcTable356[Inter-Electrode Distance],$B10,SttcTable356[STTC])</f>
        <v>#DIV/0!</v>
      </c>
      <c r="K10" s="2" t="s">
        <v>10</v>
      </c>
    </row>
    <row r="11" spans="1:75" x14ac:dyDescent="0.25">
      <c r="A11" s="4">
        <v>6</v>
      </c>
      <c r="B11" s="4">
        <f t="shared" si="0"/>
        <v>1200</v>
      </c>
      <c r="C11" s="4" t="e">
        <f>AVERAGEIF(SttcTable356[Inter-Electrode Distance],$B11,SttcTable356[STTC])</f>
        <v>#DIV/0!</v>
      </c>
      <c r="K11" s="2" t="s">
        <v>11</v>
      </c>
    </row>
    <row r="12" spans="1:75" x14ac:dyDescent="0.25">
      <c r="A12" s="4">
        <v>7</v>
      </c>
      <c r="B12" s="4">
        <f t="shared" si="0"/>
        <v>1400</v>
      </c>
      <c r="C12" s="4" t="e">
        <f>AVERAGEIF(SttcTable356[Inter-Electrode Distance],$B12,SttcTable356[STTC])</f>
        <v>#DIV/0!</v>
      </c>
      <c r="K12" s="2" t="s">
        <v>12</v>
      </c>
    </row>
    <row r="13" spans="1:75" x14ac:dyDescent="0.25">
      <c r="A13" s="4">
        <v>1.4142135623730951</v>
      </c>
      <c r="B13" s="4">
        <f t="shared" si="0"/>
        <v>282.84271247461902</v>
      </c>
      <c r="C13" s="4" t="e">
        <f>AVERAGEIF(SttcTable356[Inter-Electrode Distance],$B13,SttcTable356[STTC])</f>
        <v>#DIV/0!</v>
      </c>
      <c r="K13" s="2" t="s">
        <v>13</v>
      </c>
    </row>
    <row r="14" spans="1:75" x14ac:dyDescent="0.25">
      <c r="A14" s="4">
        <v>2.2360679774997898</v>
      </c>
      <c r="B14" s="4">
        <f t="shared" si="0"/>
        <v>447.21359549995793</v>
      </c>
      <c r="C14" s="4" t="e">
        <f>AVERAGEIF(SttcTable356[Inter-Electrode Distance],$B14,SttcTable356[STTC])</f>
        <v>#DIV/0!</v>
      </c>
      <c r="K14" s="2" t="s">
        <v>14</v>
      </c>
    </row>
    <row r="15" spans="1:75" x14ac:dyDescent="0.25">
      <c r="A15" s="4">
        <v>3.1622776601683795</v>
      </c>
      <c r="B15" s="4">
        <f t="shared" si="0"/>
        <v>632.45553203367592</v>
      </c>
      <c r="C15" s="4" t="e">
        <f>AVERAGEIF(SttcTable356[Inter-Electrode Distance],$B15,SttcTable356[STTC])</f>
        <v>#DIV/0!</v>
      </c>
      <c r="K15" s="2" t="s">
        <v>15</v>
      </c>
    </row>
    <row r="16" spans="1:75" x14ac:dyDescent="0.25">
      <c r="A16" s="4">
        <v>4.1231056256176606</v>
      </c>
      <c r="B16" s="4">
        <f t="shared" si="0"/>
        <v>824.62112512353212</v>
      </c>
      <c r="C16" s="4" t="e">
        <f>AVERAGEIF(SttcTable356[Inter-Electrode Distance],$B16,SttcTable356[STTC])</f>
        <v>#DIV/0!</v>
      </c>
      <c r="K16" s="2" t="s">
        <v>16</v>
      </c>
    </row>
    <row r="17" spans="1:11" x14ac:dyDescent="0.25">
      <c r="A17" s="4">
        <v>5.0990195135927845</v>
      </c>
      <c r="B17" s="4">
        <f t="shared" si="0"/>
        <v>1019.8039027185569</v>
      </c>
      <c r="C17" s="4" t="e">
        <f>AVERAGEIF(SttcTable356[Inter-Electrode Distance],$B17,SttcTable356[STTC])</f>
        <v>#DIV/0!</v>
      </c>
      <c r="K17" s="2" t="s">
        <v>17</v>
      </c>
    </row>
    <row r="18" spans="1:11" x14ac:dyDescent="0.25">
      <c r="A18" s="4">
        <v>6.0827625302982202</v>
      </c>
      <c r="B18" s="4">
        <f t="shared" si="0"/>
        <v>1216.552506059644</v>
      </c>
      <c r="C18" s="4" t="e">
        <f>AVERAGEIF(SttcTable356[Inter-Electrode Distance],$B18,SttcTable356[STTC])</f>
        <v>#DIV/0!</v>
      </c>
      <c r="K18" s="2" t="s">
        <v>18</v>
      </c>
    </row>
    <row r="19" spans="1:11" x14ac:dyDescent="0.25">
      <c r="A19" s="4">
        <v>7.0710678118654755</v>
      </c>
      <c r="B19" s="4">
        <f t="shared" si="0"/>
        <v>1414.2135623730951</v>
      </c>
      <c r="C19" s="4" t="e">
        <f>AVERAGEIF(SttcTable356[Inter-Electrode Distance],$B19,SttcTable356[STTC])</f>
        <v>#DIV/0!</v>
      </c>
      <c r="K19" s="2" t="s">
        <v>19</v>
      </c>
    </row>
    <row r="20" spans="1:11" x14ac:dyDescent="0.25">
      <c r="A20" s="4">
        <v>2.8284271247461903</v>
      </c>
      <c r="B20" s="4">
        <f t="shared" si="0"/>
        <v>565.68542494923804</v>
      </c>
      <c r="C20" s="4" t="e">
        <f>AVERAGEIF(SttcTable356[Inter-Electrode Distance],$B20,SttcTable356[STTC])</f>
        <v>#DIV/0!</v>
      </c>
      <c r="K20" s="2" t="s">
        <v>20</v>
      </c>
    </row>
    <row r="21" spans="1:11" x14ac:dyDescent="0.25">
      <c r="A21" s="4">
        <v>3.6055512754639891</v>
      </c>
      <c r="B21" s="4">
        <f t="shared" si="0"/>
        <v>721.11025509279784</v>
      </c>
      <c r="C21" s="4" t="e">
        <f>AVERAGEIF(SttcTable356[Inter-Electrode Distance],$B21,SttcTable356[STTC])</f>
        <v>#DIV/0!</v>
      </c>
      <c r="K21" s="2" t="s">
        <v>21</v>
      </c>
    </row>
    <row r="22" spans="1:11" x14ac:dyDescent="0.25">
      <c r="A22" s="4">
        <v>4.4721359549995796</v>
      </c>
      <c r="B22" s="4">
        <f t="shared" si="0"/>
        <v>894.42719099991587</v>
      </c>
      <c r="C22" s="4" t="e">
        <f>AVERAGEIF(SttcTable356[Inter-Electrode Distance],$B22,SttcTable356[STTC])</f>
        <v>#DIV/0!</v>
      </c>
      <c r="K22" s="2" t="s">
        <v>22</v>
      </c>
    </row>
    <row r="23" spans="1:11" x14ac:dyDescent="0.25">
      <c r="A23" s="4">
        <v>5.3851648071345037</v>
      </c>
      <c r="B23" s="4">
        <f t="shared" si="0"/>
        <v>1077.0329614269008</v>
      </c>
      <c r="C23" s="4" t="e">
        <f>AVERAGEIF(SttcTable356[Inter-Electrode Distance],$B23,SttcTable356[STTC])</f>
        <v>#DIV/0!</v>
      </c>
      <c r="K23" s="2" t="s">
        <v>23</v>
      </c>
    </row>
    <row r="24" spans="1:11" x14ac:dyDescent="0.25">
      <c r="A24" s="4">
        <v>6.324555320336759</v>
      </c>
      <c r="B24" s="4">
        <f t="shared" si="0"/>
        <v>1264.9110640673518</v>
      </c>
      <c r="C24" s="4" t="e">
        <f>AVERAGEIF(SttcTable356[Inter-Electrode Distance],$B24,SttcTable356[STTC])</f>
        <v>#DIV/0!</v>
      </c>
      <c r="K24" s="2" t="s">
        <v>24</v>
      </c>
    </row>
    <row r="25" spans="1:11" x14ac:dyDescent="0.25">
      <c r="A25" s="4">
        <v>7.2801098892805181</v>
      </c>
      <c r="B25" s="4">
        <f t="shared" si="0"/>
        <v>1456.0219778561036</v>
      </c>
      <c r="C25" s="4" t="e">
        <f>AVERAGEIF(SttcTable356[Inter-Electrode Distance],$B25,SttcTable356[STTC])</f>
        <v>#DIV/0!</v>
      </c>
      <c r="K25" s="2" t="s">
        <v>25</v>
      </c>
    </row>
    <row r="26" spans="1:11" x14ac:dyDescent="0.25">
      <c r="A26" s="4">
        <v>4.2426406871192848</v>
      </c>
      <c r="B26" s="4">
        <f t="shared" si="0"/>
        <v>848.52813742385695</v>
      </c>
      <c r="C26" s="4" t="e">
        <f>AVERAGEIF(SttcTable356[Inter-Electrode Distance],$B26,SttcTable356[STTC])</f>
        <v>#DIV/0!</v>
      </c>
      <c r="K26" s="2" t="s">
        <v>26</v>
      </c>
    </row>
    <row r="27" spans="1:11" x14ac:dyDescent="0.25">
      <c r="A27" s="4">
        <v>5.8309518948453016</v>
      </c>
      <c r="B27" s="4">
        <f t="shared" si="0"/>
        <v>1166.1903789690602</v>
      </c>
      <c r="C27" s="4" t="e">
        <f>AVERAGEIF(SttcTable356[Inter-Electrode Distance],$B27,SttcTable356[STTC])</f>
        <v>#DIV/0!</v>
      </c>
      <c r="K27" s="2" t="s">
        <v>27</v>
      </c>
    </row>
    <row r="28" spans="1:11" x14ac:dyDescent="0.25">
      <c r="A28" s="4">
        <v>6.7082039324993694</v>
      </c>
      <c r="B28" s="4">
        <f t="shared" si="0"/>
        <v>1341.6407864998739</v>
      </c>
      <c r="C28" s="4" t="e">
        <f>AVERAGEIF(SttcTable356[Inter-Electrode Distance],$B28,SttcTable356[STTC])</f>
        <v>#DIV/0!</v>
      </c>
      <c r="K28" s="2" t="s">
        <v>28</v>
      </c>
    </row>
    <row r="29" spans="1:11" x14ac:dyDescent="0.25">
      <c r="A29" s="4">
        <v>7.6157731058639095</v>
      </c>
      <c r="B29" s="4">
        <f t="shared" si="0"/>
        <v>1523.1546211727818</v>
      </c>
      <c r="C29" s="4" t="e">
        <f>AVERAGEIF(SttcTable356[Inter-Electrode Distance],$B29,SttcTable356[STTC])</f>
        <v>#DIV/0!</v>
      </c>
      <c r="K29" s="2" t="s">
        <v>29</v>
      </c>
    </row>
    <row r="30" spans="1:11" x14ac:dyDescent="0.25">
      <c r="A30" s="4">
        <v>5.6568542494923806</v>
      </c>
      <c r="B30" s="4">
        <f t="shared" si="0"/>
        <v>1131.3708498984761</v>
      </c>
      <c r="C30" s="4" t="e">
        <f>AVERAGEIF(SttcTable356[Inter-Electrode Distance],$B30,SttcTable356[STTC])</f>
        <v>#DIV/0!</v>
      </c>
      <c r="K30" s="2" t="s">
        <v>30</v>
      </c>
    </row>
    <row r="31" spans="1:11" x14ac:dyDescent="0.25">
      <c r="A31" s="4">
        <v>6.4031242374328485</v>
      </c>
      <c r="B31" s="4">
        <f t="shared" si="0"/>
        <v>1280.6248474865697</v>
      </c>
      <c r="C31" s="4" t="e">
        <f>AVERAGEIF(SttcTable356[Inter-Electrode Distance],$B31,SttcTable356[STTC])</f>
        <v>#DIV/0!</v>
      </c>
      <c r="K31" s="2" t="s">
        <v>31</v>
      </c>
    </row>
    <row r="32" spans="1:11" x14ac:dyDescent="0.25">
      <c r="A32" s="4">
        <v>7.2111025509279782</v>
      </c>
      <c r="B32" s="4">
        <f t="shared" si="0"/>
        <v>1442.2205101855957</v>
      </c>
      <c r="C32" s="4" t="e">
        <f>AVERAGEIF(SttcTable356[Inter-Electrode Distance],$B32,SttcTable356[STTC])</f>
        <v>#DIV/0!</v>
      </c>
      <c r="K32" s="2" t="s">
        <v>32</v>
      </c>
    </row>
    <row r="33" spans="1:11" x14ac:dyDescent="0.25">
      <c r="A33" s="4">
        <v>8.0622577482985491</v>
      </c>
      <c r="B33" s="4">
        <f t="shared" si="0"/>
        <v>1612.4515496597098</v>
      </c>
      <c r="C33" s="4" t="e">
        <f>AVERAGEIF(SttcTable356[Inter-Electrode Distance],$B33,SttcTable356[STTC])</f>
        <v>#DIV/0!</v>
      </c>
      <c r="K33" s="2" t="s">
        <v>33</v>
      </c>
    </row>
    <row r="34" spans="1:11" x14ac:dyDescent="0.25">
      <c r="A34" s="4">
        <v>7.810249675906654</v>
      </c>
      <c r="B34" s="4">
        <f t="shared" si="0"/>
        <v>1562.0499351813307</v>
      </c>
      <c r="C34" s="4" t="e">
        <f>AVERAGEIF(SttcTable356[Inter-Electrode Distance],$B34,SttcTable356[STTC])</f>
        <v>#DIV/0!</v>
      </c>
      <c r="K34" s="2" t="s">
        <v>34</v>
      </c>
    </row>
    <row r="35" spans="1:11" x14ac:dyDescent="0.25">
      <c r="A35" s="4">
        <v>8.6023252670426267</v>
      </c>
      <c r="B35" s="4">
        <f t="shared" si="0"/>
        <v>1720.4650534085254</v>
      </c>
      <c r="C35" s="4" t="e">
        <f>AVERAGEIF(SttcTable356[Inter-Electrode Distance],$B35,SttcTable356[STTC])</f>
        <v>#DIV/0!</v>
      </c>
      <c r="K35" s="2" t="s">
        <v>35</v>
      </c>
    </row>
    <row r="36" spans="1:11" x14ac:dyDescent="0.25">
      <c r="A36" s="4">
        <v>8.4852813742385695</v>
      </c>
      <c r="B36" s="4">
        <f t="shared" si="0"/>
        <v>1697.0562748477139</v>
      </c>
      <c r="C36" s="4" t="e">
        <f>AVERAGEIF(SttcTable356[Inter-Electrode Distance],$B36,SttcTable356[STTC])</f>
        <v>#DIV/0!</v>
      </c>
      <c r="K36" s="2" t="s">
        <v>36</v>
      </c>
    </row>
    <row r="37" spans="1:11" x14ac:dyDescent="0.25">
      <c r="A37" s="4">
        <v>9.2195444572928871</v>
      </c>
      <c r="B37" s="4">
        <f t="shared" si="0"/>
        <v>1843.9088914585775</v>
      </c>
      <c r="C37" s="4" t="e">
        <f>AVERAGEIF(SttcTable356[Inter-Electrode Distance],$B37,SttcTable356[STTC])</f>
        <v>#DIV/0!</v>
      </c>
      <c r="K37" s="2" t="s">
        <v>37</v>
      </c>
    </row>
    <row r="38" spans="1:11" x14ac:dyDescent="0.25">
      <c r="A38" s="4">
        <v>9.8994949366116654</v>
      </c>
      <c r="B38" s="4">
        <f t="shared" si="0"/>
        <v>1979.8989873223331</v>
      </c>
      <c r="C38" s="4" t="e">
        <f>AVERAGEIF(SttcTable356[Inter-Electrode Distance],$B38,SttcTable356[STTC])</f>
        <v>#DIV/0!</v>
      </c>
      <c r="K38" s="2" t="s">
        <v>38</v>
      </c>
    </row>
    <row r="39" spans="1:11" x14ac:dyDescent="0.25">
      <c r="B39"/>
      <c r="K39" s="2" t="s">
        <v>39</v>
      </c>
    </row>
    <row r="40" spans="1:11" x14ac:dyDescent="0.25">
      <c r="B40"/>
      <c r="K40" s="2" t="s">
        <v>40</v>
      </c>
    </row>
    <row r="41" spans="1:11" x14ac:dyDescent="0.25">
      <c r="B41"/>
      <c r="K41" s="2" t="s">
        <v>41</v>
      </c>
    </row>
    <row r="42" spans="1:11" x14ac:dyDescent="0.25">
      <c r="B42"/>
      <c r="K42" s="2" t="s">
        <v>42</v>
      </c>
    </row>
    <row r="43" spans="1:11" x14ac:dyDescent="0.25">
      <c r="B43"/>
      <c r="K43" s="2" t="s">
        <v>43</v>
      </c>
    </row>
    <row r="44" spans="1:11" x14ac:dyDescent="0.25">
      <c r="B44"/>
      <c r="K44" s="2" t="s">
        <v>44</v>
      </c>
    </row>
    <row r="45" spans="1:11" x14ac:dyDescent="0.25">
      <c r="B45"/>
      <c r="K45" s="2" t="s">
        <v>45</v>
      </c>
    </row>
    <row r="46" spans="1:11" x14ac:dyDescent="0.25">
      <c r="B46"/>
      <c r="K46" s="2" t="s">
        <v>46</v>
      </c>
    </row>
    <row r="47" spans="1:11" x14ac:dyDescent="0.25">
      <c r="B47"/>
      <c r="K47" s="2" t="s">
        <v>47</v>
      </c>
    </row>
    <row r="48" spans="1:11" x14ac:dyDescent="0.25">
      <c r="B48"/>
      <c r="K48" s="2" t="s">
        <v>48</v>
      </c>
    </row>
    <row r="49" spans="2:11" x14ac:dyDescent="0.25">
      <c r="B49"/>
      <c r="K49" s="2" t="s">
        <v>49</v>
      </c>
    </row>
    <row r="50" spans="2:11" x14ac:dyDescent="0.25">
      <c r="B50"/>
      <c r="K50" s="2" t="s">
        <v>50</v>
      </c>
    </row>
    <row r="51" spans="2:11" x14ac:dyDescent="0.25">
      <c r="B51"/>
      <c r="K51" s="2" t="s">
        <v>51</v>
      </c>
    </row>
    <row r="52" spans="2:11" x14ac:dyDescent="0.25">
      <c r="B52"/>
      <c r="K52" s="2" t="s">
        <v>52</v>
      </c>
    </row>
    <row r="53" spans="2:11" x14ac:dyDescent="0.25">
      <c r="B53"/>
      <c r="K53" s="2" t="s">
        <v>53</v>
      </c>
    </row>
    <row r="54" spans="2:11" x14ac:dyDescent="0.25">
      <c r="B54"/>
      <c r="K54" s="2" t="s">
        <v>54</v>
      </c>
    </row>
    <row r="55" spans="2:11" x14ac:dyDescent="0.25">
      <c r="B55"/>
      <c r="K55" s="2" t="s">
        <v>55</v>
      </c>
    </row>
    <row r="56" spans="2:11" x14ac:dyDescent="0.25">
      <c r="B56"/>
      <c r="K56" s="2" t="s">
        <v>56</v>
      </c>
    </row>
    <row r="57" spans="2:11" x14ac:dyDescent="0.25">
      <c r="B57"/>
      <c r="K57" s="2" t="s">
        <v>57</v>
      </c>
    </row>
    <row r="58" spans="2:11" x14ac:dyDescent="0.25">
      <c r="B58"/>
      <c r="K58" s="2" t="s">
        <v>58</v>
      </c>
    </row>
    <row r="59" spans="2:11" x14ac:dyDescent="0.25">
      <c r="B59"/>
      <c r="K59" s="2" t="s">
        <v>59</v>
      </c>
    </row>
    <row r="60" spans="2:11" x14ac:dyDescent="0.25">
      <c r="B60"/>
      <c r="K60" s="2" t="s">
        <v>60</v>
      </c>
    </row>
    <row r="61" spans="2:11" x14ac:dyDescent="0.25">
      <c r="B61"/>
      <c r="K61" s="2" t="s">
        <v>61</v>
      </c>
    </row>
    <row r="62" spans="2:11" x14ac:dyDescent="0.25">
      <c r="B62"/>
      <c r="K62" s="2" t="s">
        <v>62</v>
      </c>
    </row>
    <row r="63" spans="2:11" x14ac:dyDescent="0.25">
      <c r="B63"/>
      <c r="K63" s="2" t="s">
        <v>63</v>
      </c>
    </row>
    <row r="64" spans="2:11" x14ac:dyDescent="0.25">
      <c r="B64"/>
      <c r="K64" s="2" t="s">
        <v>64</v>
      </c>
    </row>
    <row r="65" spans="2:11" x14ac:dyDescent="0.25">
      <c r="B65"/>
      <c r="K65" s="2" t="s">
        <v>65</v>
      </c>
    </row>
    <row r="66" spans="2:11" x14ac:dyDescent="0.25">
      <c r="B66"/>
      <c r="K66" s="2" t="s">
        <v>66</v>
      </c>
    </row>
    <row r="67" spans="2:11" x14ac:dyDescent="0.25">
      <c r="B67"/>
      <c r="K67" s="2" t="s">
        <v>67</v>
      </c>
    </row>
    <row r="68" spans="2:11" x14ac:dyDescent="0.25">
      <c r="B68"/>
      <c r="K68" s="2" t="s">
        <v>68</v>
      </c>
    </row>
    <row r="69" spans="2:11" x14ac:dyDescent="0.25">
      <c r="B69"/>
      <c r="K69" s="2" t="s">
        <v>69</v>
      </c>
    </row>
    <row r="70" spans="2:11" x14ac:dyDescent="0.25">
      <c r="B70"/>
    </row>
    <row r="71" spans="2:11" x14ac:dyDescent="0.25">
      <c r="B71"/>
    </row>
    <row r="72" spans="2:11" x14ac:dyDescent="0.25">
      <c r="B72"/>
    </row>
    <row r="73" spans="2:11" x14ac:dyDescent="0.25">
      <c r="B73"/>
    </row>
    <row r="74" spans="2:11" x14ac:dyDescent="0.25">
      <c r="B74"/>
    </row>
    <row r="75" spans="2:11" x14ac:dyDescent="0.25">
      <c r="B75"/>
    </row>
    <row r="76" spans="2:11" x14ac:dyDescent="0.25">
      <c r="B76"/>
    </row>
    <row r="77" spans="2:11" x14ac:dyDescent="0.25">
      <c r="B77"/>
    </row>
    <row r="78" spans="2:11" x14ac:dyDescent="0.25">
      <c r="B78"/>
    </row>
    <row r="79" spans="2:11" x14ac:dyDescent="0.25">
      <c r="B79"/>
    </row>
    <row r="80" spans="2:11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</sheetData>
  <conditionalFormatting sqref="L6:BW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WriteChannelData.WriteChannelData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Contents</vt:lpstr>
      <vt:lpstr>Results</vt:lpstr>
      <vt:lpstr>Control</vt:lpstr>
      <vt:lpstr>Low Meth</vt:lpstr>
      <vt:lpstr>High Meth</vt:lpstr>
      <vt:lpstr>Recovery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2015-09-11T05:52:30Z</dcterms:modified>
</cp:coreProperties>
</file>