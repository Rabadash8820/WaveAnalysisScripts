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25200" windowHeight="11985"/>
  </bookViews>
  <sheets>
    <sheet name="Contents" sheetId="9" r:id="rId1"/>
    <sheet name="Invalid Units" sheetId="16" r:id="rId2"/>
    <sheet name="Stats" sheetId="12" r:id="rId3"/>
    <sheet name="Figures" sheetId="2" r:id="rId4"/>
    <sheet name="WT_Dark_All" sheetId="6" r:id="rId5"/>
    <sheet name="WT_Dark_WABs" sheetId="17" r:id="rId6"/>
    <sheet name="WT_Dark_NonWABs" sheetId="18" r:id="rId7"/>
    <sheet name="DTA_Dark_All" sheetId="7" r:id="rId8"/>
    <sheet name="DTA_Dark_WABs" sheetId="19" r:id="rId9"/>
    <sheet name="DTA_Dark_NonWABs" sheetId="20" r:id="rId10"/>
  </sheets>
  <functionGroups builtInGroupCount="18"/>
  <definedNames>
    <definedName name="PropertyCols">Figures!$A$4</definedName>
    <definedName name="PropertyRows">Figures!$A$2</definedName>
    <definedName name="PValue">Stats!$B$1</definedName>
    <definedName name="TTTails">Stats!$B$2</definedName>
    <definedName name="TTType">Stats!$B$3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  <c r="G7" i="2" s="1"/>
  <c r="C7" i="2"/>
  <c r="C18" i="2" s="1"/>
  <c r="B3" i="9"/>
  <c r="C8" i="2" l="1"/>
  <c r="C9" i="2" s="1"/>
  <c r="C10" i="2" s="1"/>
  <c r="C11" i="2" s="1"/>
  <c r="C12" i="2" s="1"/>
  <c r="B13" i="2"/>
  <c r="B18" i="2" s="1"/>
  <c r="C13" i="2"/>
  <c r="C14" i="2"/>
  <c r="C15" i="2" s="1"/>
  <c r="C16" i="2" s="1"/>
  <c r="C17" i="2" s="1"/>
  <c r="C19" i="2" s="1"/>
  <c r="C20" i="2" s="1"/>
  <c r="C21" i="2" s="1"/>
  <c r="C22" i="2" s="1"/>
  <c r="D7" i="2"/>
  <c r="E7" i="2"/>
  <c r="F7" i="2"/>
  <c r="B8" i="2"/>
  <c r="B12" i="2"/>
  <c r="B11" i="2"/>
  <c r="B10" i="2"/>
  <c r="B9" i="2"/>
  <c r="Q117" i="2"/>
  <c r="G10" i="2" l="1"/>
  <c r="F10" i="2"/>
  <c r="E10" i="2"/>
  <c r="D10" i="2"/>
  <c r="F9" i="2"/>
  <c r="G9" i="2"/>
  <c r="D9" i="2"/>
  <c r="E9" i="2"/>
  <c r="F11" i="2"/>
  <c r="G11" i="2"/>
  <c r="E11" i="2"/>
  <c r="D11" i="2"/>
  <c r="G8" i="2"/>
  <c r="D8" i="2"/>
  <c r="F8" i="2"/>
  <c r="E8" i="2"/>
  <c r="D12" i="2"/>
  <c r="G12" i="2"/>
  <c r="F12" i="2"/>
  <c r="E12" i="2"/>
  <c r="G13" i="2"/>
  <c r="F13" i="2"/>
  <c r="E13" i="2"/>
  <c r="D13" i="2"/>
  <c r="B14" i="2"/>
  <c r="B15" i="2"/>
  <c r="B16" i="2"/>
  <c r="B17" i="2"/>
  <c r="P84" i="2"/>
  <c r="Q84" i="2"/>
  <c r="P85" i="2"/>
  <c r="Q85" i="2"/>
  <c r="P86" i="2"/>
  <c r="Q86" i="2"/>
  <c r="P87" i="2"/>
  <c r="Q87" i="2"/>
  <c r="P88" i="2"/>
  <c r="Q88" i="2"/>
  <c r="P89" i="2"/>
  <c r="Q89" i="2"/>
  <c r="P90" i="2"/>
  <c r="Q90" i="2"/>
  <c r="W84" i="2"/>
  <c r="X84" i="2"/>
  <c r="W85" i="2"/>
  <c r="X85" i="2"/>
  <c r="W86" i="2"/>
  <c r="X86" i="2"/>
  <c r="W87" i="2"/>
  <c r="X87" i="2"/>
  <c r="W88" i="2"/>
  <c r="X88" i="2"/>
  <c r="W89" i="2"/>
  <c r="X89" i="2"/>
  <c r="W90" i="2"/>
  <c r="X90" i="2"/>
  <c r="AZ58" i="2"/>
  <c r="AY58" i="2"/>
  <c r="AZ57" i="2"/>
  <c r="AY57" i="2"/>
  <c r="AZ56" i="2"/>
  <c r="AY56" i="2"/>
  <c r="AZ55" i="2"/>
  <c r="AY55" i="2"/>
  <c r="AZ54" i="2"/>
  <c r="AY54" i="2"/>
  <c r="AZ53" i="2"/>
  <c r="AY53" i="2"/>
  <c r="AZ52" i="2"/>
  <c r="AY52" i="2"/>
  <c r="AS58" i="2"/>
  <c r="AR58" i="2"/>
  <c r="AS57" i="2"/>
  <c r="AR57" i="2"/>
  <c r="AS56" i="2"/>
  <c r="AR56" i="2"/>
  <c r="AS55" i="2"/>
  <c r="AR55" i="2"/>
  <c r="AS54" i="2"/>
  <c r="AR54" i="2"/>
  <c r="AS53" i="2"/>
  <c r="AR53" i="2"/>
  <c r="AS52" i="2"/>
  <c r="AR52" i="2"/>
  <c r="AL58" i="2"/>
  <c r="AK58" i="2"/>
  <c r="AL57" i="2"/>
  <c r="AK57" i="2"/>
  <c r="AL56" i="2"/>
  <c r="AK56" i="2"/>
  <c r="AL55" i="2"/>
  <c r="AK55" i="2"/>
  <c r="AL54" i="2"/>
  <c r="AK54" i="2"/>
  <c r="AL53" i="2"/>
  <c r="AK53" i="2"/>
  <c r="AL52" i="2"/>
  <c r="AK52" i="2"/>
  <c r="AE58" i="2"/>
  <c r="AD58" i="2"/>
  <c r="AE57" i="2"/>
  <c r="AD57" i="2"/>
  <c r="AE56" i="2"/>
  <c r="AD56" i="2"/>
  <c r="AE55" i="2"/>
  <c r="AD55" i="2"/>
  <c r="AE54" i="2"/>
  <c r="AD54" i="2"/>
  <c r="AE53" i="2"/>
  <c r="AD53" i="2"/>
  <c r="AE52" i="2"/>
  <c r="AD52" i="2"/>
  <c r="X58" i="2"/>
  <c r="W58" i="2"/>
  <c r="X57" i="2"/>
  <c r="W57" i="2"/>
  <c r="X56" i="2"/>
  <c r="W56" i="2"/>
  <c r="X55" i="2"/>
  <c r="W55" i="2"/>
  <c r="X54" i="2"/>
  <c r="W54" i="2"/>
  <c r="X53" i="2"/>
  <c r="W53" i="2"/>
  <c r="X52" i="2"/>
  <c r="W52" i="2"/>
  <c r="G17" i="2" l="1"/>
  <c r="D17" i="2"/>
  <c r="F17" i="2"/>
  <c r="E17" i="2"/>
  <c r="G16" i="2"/>
  <c r="F16" i="2"/>
  <c r="E16" i="2"/>
  <c r="D16" i="2"/>
  <c r="D15" i="2"/>
  <c r="G15" i="2"/>
  <c r="F15" i="2"/>
  <c r="E15" i="2"/>
  <c r="D14" i="2"/>
  <c r="G14" i="2"/>
  <c r="F14" i="2"/>
  <c r="E14" i="2"/>
  <c r="D18" i="2"/>
  <c r="G18" i="2"/>
  <c r="F18" i="2"/>
  <c r="E18" i="2"/>
  <c r="B22" i="2"/>
  <c r="B21" i="2"/>
  <c r="B20" i="2"/>
  <c r="B19" i="2"/>
  <c r="Z87" i="2"/>
  <c r="Z88" i="2"/>
  <c r="S89" i="2"/>
  <c r="S86" i="2"/>
  <c r="Z86" i="2"/>
  <c r="S87" i="2"/>
  <c r="Z89" i="2"/>
  <c r="S90" i="2"/>
  <c r="S84" i="2"/>
  <c r="Z90" i="2"/>
  <c r="Z84" i="2"/>
  <c r="Z85" i="2"/>
  <c r="S85" i="2"/>
  <c r="S88" i="2"/>
  <c r="BB53" i="2"/>
  <c r="BB54" i="2"/>
  <c r="BB55" i="2"/>
  <c r="BB56" i="2"/>
  <c r="BB57" i="2"/>
  <c r="BB52" i="2"/>
  <c r="BB58" i="2"/>
  <c r="AU54" i="2"/>
  <c r="AU55" i="2"/>
  <c r="AU56" i="2"/>
  <c r="AU57" i="2"/>
  <c r="AU52" i="2"/>
  <c r="AU58" i="2"/>
  <c r="AU53" i="2"/>
  <c r="AN56" i="2"/>
  <c r="AN57" i="2"/>
  <c r="AN52" i="2"/>
  <c r="AN58" i="2"/>
  <c r="AN55" i="2"/>
  <c r="AN53" i="2"/>
  <c r="AN54" i="2"/>
  <c r="AG57" i="2"/>
  <c r="AG52" i="2"/>
  <c r="AG58" i="2"/>
  <c r="AG53" i="2"/>
  <c r="AG56" i="2"/>
  <c r="AG54" i="2"/>
  <c r="AG55" i="2"/>
  <c r="Z52" i="2"/>
  <c r="Z58" i="2"/>
  <c r="Z53" i="2"/>
  <c r="Z54" i="2"/>
  <c r="Z57" i="2"/>
  <c r="Z55" i="2"/>
  <c r="Z56" i="2"/>
  <c r="AS122" i="2"/>
  <c r="AR122" i="2"/>
  <c r="AS121" i="2"/>
  <c r="AR121" i="2"/>
  <c r="AS120" i="2"/>
  <c r="AR120" i="2"/>
  <c r="AS119" i="2"/>
  <c r="AR119" i="2"/>
  <c r="AS118" i="2"/>
  <c r="AR118" i="2"/>
  <c r="AS117" i="2"/>
  <c r="AR117" i="2"/>
  <c r="AS116" i="2"/>
  <c r="AR116" i="2"/>
  <c r="AL122" i="2"/>
  <c r="AK122" i="2"/>
  <c r="AL121" i="2"/>
  <c r="AK121" i="2"/>
  <c r="AL120" i="2"/>
  <c r="AK120" i="2"/>
  <c r="AL119" i="2"/>
  <c r="AK119" i="2"/>
  <c r="AL118" i="2"/>
  <c r="AK118" i="2"/>
  <c r="AL117" i="2"/>
  <c r="AK117" i="2"/>
  <c r="AL116" i="2"/>
  <c r="AK116" i="2"/>
  <c r="AE122" i="2"/>
  <c r="AD122" i="2"/>
  <c r="AE121" i="2"/>
  <c r="AD121" i="2"/>
  <c r="AE120" i="2"/>
  <c r="AD120" i="2"/>
  <c r="AE119" i="2"/>
  <c r="AD119" i="2"/>
  <c r="AE118" i="2"/>
  <c r="AD118" i="2"/>
  <c r="AE117" i="2"/>
  <c r="AD117" i="2"/>
  <c r="AE116" i="2"/>
  <c r="AD116" i="2"/>
  <c r="X122" i="2"/>
  <c r="W122" i="2"/>
  <c r="X121" i="2"/>
  <c r="W121" i="2"/>
  <c r="X120" i="2"/>
  <c r="W120" i="2"/>
  <c r="X119" i="2"/>
  <c r="W119" i="2"/>
  <c r="X118" i="2"/>
  <c r="W118" i="2"/>
  <c r="X117" i="2"/>
  <c r="W117" i="2"/>
  <c r="X116" i="2"/>
  <c r="W116" i="2"/>
  <c r="P117" i="2"/>
  <c r="P118" i="2"/>
  <c r="Q118" i="2"/>
  <c r="P119" i="2"/>
  <c r="Q119" i="2"/>
  <c r="P120" i="2"/>
  <c r="Q120" i="2"/>
  <c r="P121" i="2"/>
  <c r="Q121" i="2"/>
  <c r="P122" i="2"/>
  <c r="Q122" i="2"/>
  <c r="Q116" i="2"/>
  <c r="G19" i="2" l="1"/>
  <c r="F19" i="2"/>
  <c r="E19" i="2"/>
  <c r="D19" i="2"/>
  <c r="D20" i="2"/>
  <c r="E20" i="2"/>
  <c r="G20" i="2"/>
  <c r="F20" i="2"/>
  <c r="G21" i="2"/>
  <c r="F21" i="2"/>
  <c r="E21" i="2"/>
  <c r="D21" i="2"/>
  <c r="G22" i="2"/>
  <c r="F22" i="2"/>
  <c r="E22" i="2"/>
  <c r="D22" i="2"/>
  <c r="Y52" i="2"/>
  <c r="S117" i="2"/>
  <c r="S118" i="2"/>
  <c r="S119" i="2"/>
  <c r="S120" i="2"/>
  <c r="S121" i="2"/>
  <c r="AU119" i="2"/>
  <c r="AU120" i="2"/>
  <c r="AU121" i="2"/>
  <c r="AU116" i="2"/>
  <c r="AU122" i="2"/>
  <c r="AU117" i="2"/>
  <c r="AU118" i="2"/>
  <c r="AN120" i="2"/>
  <c r="AN121" i="2"/>
  <c r="AN116" i="2"/>
  <c r="AN122" i="2"/>
  <c r="AN117" i="2"/>
  <c r="AN118" i="2"/>
  <c r="AN119" i="2"/>
  <c r="AG121" i="2"/>
  <c r="AG116" i="2"/>
  <c r="AG122" i="2"/>
  <c r="AG117" i="2"/>
  <c r="AG118" i="2"/>
  <c r="AG119" i="2"/>
  <c r="AG120" i="2"/>
  <c r="S122" i="2"/>
  <c r="Z117" i="2"/>
  <c r="Z118" i="2"/>
  <c r="Z122" i="2"/>
  <c r="Z119" i="2"/>
  <c r="Z116" i="2"/>
  <c r="Z120" i="2"/>
  <c r="Z121" i="2"/>
  <c r="Y58" i="2"/>
  <c r="Y56" i="2"/>
  <c r="Y57" i="2"/>
  <c r="Y53" i="2"/>
  <c r="Y54" i="2"/>
  <c r="Y55" i="2"/>
  <c r="P52" i="2"/>
  <c r="Q52" i="2"/>
  <c r="P53" i="2"/>
  <c r="Q53" i="2"/>
  <c r="P54" i="2"/>
  <c r="Q54" i="2"/>
  <c r="P55" i="2"/>
  <c r="Q55" i="2"/>
  <c r="P56" i="2"/>
  <c r="Q56" i="2"/>
  <c r="P57" i="2"/>
  <c r="Q57" i="2"/>
  <c r="P58" i="2"/>
  <c r="Q58" i="2"/>
  <c r="P116" i="2"/>
  <c r="AS90" i="2"/>
  <c r="AR90" i="2"/>
  <c r="AS89" i="2"/>
  <c r="AR89" i="2"/>
  <c r="AS88" i="2"/>
  <c r="AR88" i="2"/>
  <c r="AS87" i="2"/>
  <c r="AR87" i="2"/>
  <c r="AS86" i="2"/>
  <c r="AR86" i="2"/>
  <c r="AS85" i="2"/>
  <c r="AR85" i="2"/>
  <c r="AS84" i="2"/>
  <c r="AR84" i="2"/>
  <c r="AL90" i="2"/>
  <c r="AK90" i="2"/>
  <c r="AL89" i="2"/>
  <c r="AK89" i="2"/>
  <c r="AL88" i="2"/>
  <c r="AK88" i="2"/>
  <c r="AL87" i="2"/>
  <c r="AK87" i="2"/>
  <c r="AL86" i="2"/>
  <c r="AK86" i="2"/>
  <c r="AL85" i="2"/>
  <c r="AK85" i="2"/>
  <c r="AL84" i="2"/>
  <c r="AK84" i="2"/>
  <c r="AE90" i="2"/>
  <c r="AD90" i="2"/>
  <c r="AE89" i="2"/>
  <c r="AD89" i="2"/>
  <c r="AE88" i="2"/>
  <c r="AD88" i="2"/>
  <c r="AE87" i="2"/>
  <c r="AD87" i="2"/>
  <c r="AE86" i="2"/>
  <c r="AD86" i="2"/>
  <c r="AE85" i="2"/>
  <c r="AD85" i="2"/>
  <c r="AE84" i="2"/>
  <c r="AD84" i="2"/>
  <c r="H22" i="2"/>
  <c r="H14" i="2"/>
  <c r="H16" i="2"/>
  <c r="I9" i="2"/>
  <c r="J9" i="2"/>
  <c r="H10" i="2"/>
  <c r="J7" i="2"/>
  <c r="I16" i="2"/>
  <c r="K16" i="2"/>
  <c r="I8" i="2"/>
  <c r="J8" i="2"/>
  <c r="H18" i="2"/>
  <c r="H9" i="2"/>
  <c r="I15" i="2"/>
  <c r="I11" i="2"/>
  <c r="H12" i="2"/>
  <c r="J11" i="2"/>
  <c r="J19" i="2"/>
  <c r="H15" i="2"/>
  <c r="K11" i="2"/>
  <c r="H7" i="2"/>
  <c r="H19" i="2"/>
  <c r="I12" i="2"/>
  <c r="J18" i="2"/>
  <c r="I21" i="2"/>
  <c r="K13" i="2"/>
  <c r="I22" i="2"/>
  <c r="H21" i="2"/>
  <c r="J16" i="2"/>
  <c r="J13" i="2"/>
  <c r="K18" i="2"/>
  <c r="H20" i="2"/>
  <c r="J14" i="2"/>
  <c r="K12" i="2"/>
  <c r="K22" i="2"/>
  <c r="J20" i="2"/>
  <c r="J21" i="2"/>
  <c r="K15" i="2"/>
  <c r="J15" i="2"/>
  <c r="H13" i="2"/>
  <c r="J17" i="2"/>
  <c r="K7" i="2"/>
  <c r="K8" i="2"/>
  <c r="J22" i="2"/>
  <c r="H17" i="2"/>
  <c r="H8" i="2"/>
  <c r="I13" i="2"/>
  <c r="K10" i="2"/>
  <c r="I7" i="2"/>
  <c r="K20" i="2"/>
  <c r="J12" i="2"/>
  <c r="I10" i="2"/>
  <c r="I18" i="2"/>
  <c r="I17" i="2"/>
  <c r="I20" i="2"/>
  <c r="K14" i="2"/>
  <c r="I14" i="2"/>
  <c r="K17" i="2"/>
  <c r="I19" i="2"/>
  <c r="H11" i="2"/>
  <c r="K21" i="2"/>
  <c r="J10" i="2"/>
  <c r="K19" i="2"/>
  <c r="K9" i="2"/>
  <c r="O18" i="2" l="1"/>
  <c r="O11" i="2"/>
  <c r="O21" i="2"/>
  <c r="N11" i="2"/>
  <c r="O17" i="2"/>
  <c r="O19" i="2"/>
  <c r="O13" i="2"/>
  <c r="N15" i="2"/>
  <c r="O16" i="2"/>
  <c r="N22" i="2"/>
  <c r="N19" i="2"/>
  <c r="N10" i="2"/>
  <c r="N18" i="2"/>
  <c r="N14" i="2"/>
  <c r="N21" i="2"/>
  <c r="O10" i="2"/>
  <c r="N17" i="2"/>
  <c r="N9" i="2"/>
  <c r="O9" i="2"/>
  <c r="O12" i="2"/>
  <c r="O22" i="2"/>
  <c r="N16" i="2"/>
  <c r="N8" i="2"/>
  <c r="O15" i="2"/>
  <c r="N20" i="2"/>
  <c r="O14" i="2"/>
  <c r="N12" i="2"/>
  <c r="N13" i="2"/>
  <c r="O20" i="2"/>
  <c r="O8" i="2"/>
  <c r="O7" i="2"/>
  <c r="N7" i="2"/>
  <c r="AT116" i="2"/>
  <c r="AF116" i="2"/>
  <c r="AM116" i="2"/>
  <c r="Y116" i="2"/>
  <c r="S116" i="2"/>
  <c r="AN86" i="2"/>
  <c r="AU85" i="2"/>
  <c r="AG87" i="2"/>
  <c r="AG89" i="2"/>
  <c r="AU84" i="2"/>
  <c r="AN88" i="2"/>
  <c r="AU87" i="2"/>
  <c r="AU90" i="2"/>
  <c r="AG84" i="2"/>
  <c r="AG90" i="2"/>
  <c r="AN84" i="2"/>
  <c r="AN90" i="2"/>
  <c r="AG85" i="2"/>
  <c r="AU86" i="2"/>
  <c r="AU88" i="2"/>
  <c r="AU89" i="2"/>
  <c r="AN87" i="2"/>
  <c r="AN85" i="2"/>
  <c r="AN89" i="2"/>
  <c r="AG88" i="2"/>
  <c r="AG86" i="2"/>
  <c r="S53" i="2"/>
  <c r="S58" i="2"/>
  <c r="S57" i="2"/>
  <c r="S56" i="2"/>
  <c r="S55" i="2"/>
  <c r="S54" i="2"/>
  <c r="S52" i="2"/>
  <c r="AT120" i="2"/>
  <c r="AT119" i="2"/>
  <c r="AT118" i="2"/>
  <c r="AT117" i="2"/>
  <c r="AT122" i="2"/>
  <c r="AT121" i="2"/>
  <c r="AM121" i="2"/>
  <c r="AM120" i="2"/>
  <c r="AM119" i="2"/>
  <c r="AM118" i="2"/>
  <c r="AM117" i="2"/>
  <c r="AM122" i="2"/>
  <c r="AF122" i="2"/>
  <c r="AF121" i="2"/>
  <c r="AF120" i="2"/>
  <c r="AF119" i="2"/>
  <c r="AF118" i="2"/>
  <c r="AF117" i="2"/>
  <c r="Y118" i="2"/>
  <c r="Y122" i="2"/>
  <c r="Y121" i="2"/>
  <c r="Y120" i="2"/>
  <c r="Y119" i="2"/>
  <c r="Y117" i="2"/>
  <c r="M15" i="2"/>
  <c r="L9" i="2"/>
  <c r="L7" i="2"/>
  <c r="L16" i="2"/>
  <c r="L22" i="2"/>
  <c r="M21" i="2"/>
  <c r="L8" i="2"/>
  <c r="L15" i="2"/>
  <c r="M11" i="2"/>
  <c r="M10" i="2"/>
  <c r="L21" i="2"/>
  <c r="L20" i="2"/>
  <c r="L14" i="2"/>
  <c r="M12" i="2"/>
  <c r="M8" i="2"/>
  <c r="L11" i="2"/>
  <c r="M16" i="2"/>
  <c r="M9" i="2"/>
  <c r="M20" i="2"/>
  <c r="M13" i="2"/>
  <c r="L12" i="2"/>
  <c r="M18" i="2"/>
  <c r="M14" i="2"/>
  <c r="L10" i="2"/>
  <c r="M19" i="2"/>
  <c r="M22" i="2"/>
  <c r="L17" i="2"/>
  <c r="L19" i="2"/>
  <c r="M17" i="2"/>
  <c r="L13" i="2"/>
  <c r="M7" i="2"/>
  <c r="L18" i="2"/>
  <c r="P10" i="2" l="1"/>
  <c r="P8" i="2"/>
  <c r="P12" i="2"/>
  <c r="P13" i="2"/>
  <c r="P14" i="2"/>
  <c r="P9" i="2"/>
  <c r="P11" i="2"/>
  <c r="P21" i="2"/>
  <c r="P19" i="2"/>
  <c r="P22" i="2"/>
  <c r="P20" i="2"/>
  <c r="AT84" i="2"/>
  <c r="AM84" i="2"/>
  <c r="AF84" i="2"/>
  <c r="P18" i="2"/>
  <c r="P17" i="2"/>
  <c r="P16" i="2"/>
  <c r="R120" i="2"/>
  <c r="R121" i="2"/>
  <c r="R119" i="2"/>
  <c r="R118" i="2"/>
  <c r="R117" i="2"/>
  <c r="R122" i="2"/>
  <c r="R116" i="2"/>
  <c r="AF85" i="2"/>
  <c r="AF90" i="2"/>
  <c r="AF89" i="2"/>
  <c r="AF88" i="2"/>
  <c r="AF87" i="2"/>
  <c r="AF86" i="2"/>
  <c r="AM90" i="2"/>
  <c r="AM89" i="2"/>
  <c r="AM88" i="2"/>
  <c r="AM87" i="2"/>
  <c r="AM85" i="2"/>
  <c r="AM86" i="2"/>
  <c r="AT89" i="2"/>
  <c r="AT88" i="2"/>
  <c r="AT87" i="2"/>
  <c r="AT86" i="2"/>
  <c r="AT85" i="2"/>
  <c r="AT90" i="2"/>
  <c r="R89" i="2"/>
  <c r="R87" i="2"/>
  <c r="R88" i="2"/>
  <c r="R86" i="2"/>
  <c r="R85" i="2"/>
  <c r="R90" i="2"/>
  <c r="R84" i="2"/>
  <c r="Y89" i="2"/>
  <c r="Y87" i="2"/>
  <c r="Y88" i="2"/>
  <c r="Y86" i="2"/>
  <c r="Y85" i="2"/>
  <c r="Y84" i="2"/>
  <c r="Y90" i="2"/>
  <c r="R52" i="2"/>
  <c r="R55" i="2"/>
  <c r="R56" i="2"/>
  <c r="R57" i="2"/>
  <c r="R54" i="2"/>
  <c r="R58" i="2"/>
  <c r="R53" i="2"/>
  <c r="BA52" i="2"/>
  <c r="BA55" i="2"/>
  <c r="BA56" i="2"/>
  <c r="BA53" i="2"/>
  <c r="BA57" i="2"/>
  <c r="BA54" i="2"/>
  <c r="BA58" i="2"/>
  <c r="AT52" i="2"/>
  <c r="AT56" i="2"/>
  <c r="AT57" i="2"/>
  <c r="AT53" i="2"/>
  <c r="AT54" i="2"/>
  <c r="AT58" i="2"/>
  <c r="AT55" i="2"/>
  <c r="AM52" i="2"/>
  <c r="AM58" i="2"/>
  <c r="AM57" i="2"/>
  <c r="AM53" i="2"/>
  <c r="AM54" i="2"/>
  <c r="AM56" i="2"/>
  <c r="AM55" i="2"/>
  <c r="AF52" i="2"/>
  <c r="AF53" i="2"/>
  <c r="AF54" i="2"/>
  <c r="AF55" i="2"/>
  <c r="AF58" i="2"/>
  <c r="AF57" i="2"/>
  <c r="AF56" i="2"/>
  <c r="P15" i="2" l="1"/>
  <c r="P7" i="2"/>
  <c r="Q12" i="2"/>
  <c r="Q11" i="2"/>
  <c r="Q16" i="2"/>
  <c r="Q10" i="2"/>
  <c r="Q7" i="2"/>
  <c r="Q20" i="2"/>
  <c r="Q17" i="2"/>
  <c r="Q15" i="2"/>
  <c r="Q18" i="2"/>
  <c r="Q14" i="2"/>
  <c r="Q9" i="2"/>
  <c r="Q8" i="2"/>
  <c r="Q21" i="2"/>
  <c r="Q22" i="2"/>
  <c r="Q13" i="2"/>
  <c r="Q19" i="2"/>
  <c r="A8" i="2"/>
  <c r="A20" i="2"/>
  <c r="A15" i="2"/>
  <c r="A17" i="2"/>
  <c r="A21" i="2"/>
  <c r="A10" i="2"/>
  <c r="A11" i="2"/>
  <c r="A12" i="2"/>
  <c r="A16" i="2"/>
  <c r="A14" i="2"/>
  <c r="A9" i="2"/>
  <c r="A22" i="2"/>
  <c r="A7" i="2"/>
  <c r="A13" i="2"/>
  <c r="A18" i="2"/>
  <c r="A19" i="2"/>
</calcChain>
</file>

<file path=xl/sharedStrings.xml><?xml version="1.0" encoding="utf-8"?>
<sst xmlns="http://schemas.openxmlformats.org/spreadsheetml/2006/main" count="189" uniqueCount="67">
  <si>
    <t>Retina</t>
  </si>
  <si>
    <t>Background Firing Rate</t>
  </si>
  <si>
    <t>Background Interspike Interval</t>
  </si>
  <si>
    <t>Percent of Spikes Occurring in Bursts</t>
  </si>
  <si>
    <t>Burst Frequency</t>
  </si>
  <si>
    <t>Cell</t>
  </si>
  <si>
    <t>WT_Dark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</si>
  <si>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</si>
  <si>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</si>
  <si>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</si>
  <si>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</si>
  <si>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</si>
  <si>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</si>
  <si>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</si>
  <si>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</si>
  <si>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BurstDuration</t>
  </si>
  <si>
    <t>BurstFiringRate</t>
  </si>
  <si>
    <t>BurstISI</t>
  </si>
  <si>
    <t>PercentBurstTimeAbove10Hz</t>
  </si>
  <si>
    <t>SpikesPerBurst</t>
  </si>
  <si>
    <t>DTA</t>
  </si>
  <si>
    <t>Wildtype</t>
  </si>
  <si>
    <t>WT</t>
  </si>
  <si>
    <t>DTA_Dark</t>
  </si>
  <si>
    <t>PercentBurstsInWaves</t>
  </si>
  <si>
    <t>Percent of Bursts Occurring In Waves</t>
  </si>
  <si>
    <t>Unit</t>
  </si>
  <si>
    <t>Non-Wave-Burst Duration</t>
  </si>
  <si>
    <t>Non-Wave-Burst Firing Rate</t>
  </si>
  <si>
    <t>Spikes Per Non-Wave-Burst</t>
  </si>
  <si>
    <t>Wave-Burst Firing Rate</t>
  </si>
  <si>
    <t>Spikes Per Wave-Burst</t>
  </si>
  <si>
    <t>DTA_Dark_Normalized</t>
  </si>
  <si>
    <t>P-Value:</t>
  </si>
  <si>
    <t>WT_Normalized</t>
  </si>
  <si>
    <t>Percent Wave-Burst Time &gt;10 Hz</t>
  </si>
  <si>
    <t>Wave-Burst Interspike Interval</t>
  </si>
  <si>
    <t>Non-Wave-Burst Interspike Interval</t>
  </si>
  <si>
    <t>Percent Non-Wave-Burst Time &gt;10 Hz</t>
  </si>
  <si>
    <t>DTA_Normalized</t>
  </si>
  <si>
    <t>DTA_Normalized_SEM</t>
  </si>
  <si>
    <t>% Change</t>
  </si>
  <si>
    <t>Population</t>
  </si>
  <si>
    <t>Retina ID</t>
  </si>
  <si>
    <t>Processed WAB Workbook</t>
  </si>
  <si>
    <t>Processed NWAB Workbook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</si>
  <si>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</si>
  <si>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</si>
  <si>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</si>
  <si>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</si>
  <si>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P-Value</t>
  </si>
  <si>
    <t>Corner Row</t>
  </si>
  <si>
    <t>Corner Column</t>
  </si>
  <si>
    <t>Count</t>
  </si>
  <si>
    <t>WT_Dark Range</t>
  </si>
  <si>
    <t>DTA_Dark Range</t>
  </si>
  <si>
    <t>WT_Dark_Normalized Range</t>
  </si>
  <si>
    <t>DTA_Dark_Normalized Range</t>
  </si>
  <si>
    <t>WT_Dark Avg</t>
  </si>
  <si>
    <t>WT_Dark SEM</t>
  </si>
  <si>
    <t>DTA_Dark Avg</t>
  </si>
  <si>
    <t>DTA_Dark SEM</t>
  </si>
  <si>
    <t>Property</t>
  </si>
  <si>
    <t>Property rows:</t>
  </si>
  <si>
    <t>Property columns:</t>
  </si>
  <si>
    <t>T-Test Tails:</t>
  </si>
  <si>
    <t>T-Test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</si>
</sst>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3" borderId="0" xfId="2" applyBorder="1" applyAlignment="1">
      <alignment horizontal="center" vertical="center"/>
    </xf>
    <xf numFmtId="0" fontId="6" fillId="3" borderId="9" xfId="2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3" fillId="2" borderId="9" xfId="1" applyBorder="1" applyAlignment="1">
      <alignment horizontal="center" vertical="center"/>
    </xf>
    <xf numFmtId="0" fontId="3" fillId="2" borderId="2" xfId="1" applyBorder="1" applyAlignment="1">
      <alignment horizontal="center" vertical="center"/>
    </xf>
    <xf numFmtId="0" fontId="3" fillId="2" borderId="1" xfId="1" applyBorder="1" applyAlignment="1">
      <alignment horizontal="center" vertical="center"/>
    </xf>
    <xf numFmtId="0" fontId="7" fillId="4" borderId="0" xfId="3" applyBorder="1" applyAlignment="1">
      <alignment horizontal="center" vertical="center"/>
    </xf>
    <xf numFmtId="0" fontId="7" fillId="4" borderId="9" xfId="3" applyBorder="1" applyAlignment="1">
      <alignment horizontal="center" vertical="center"/>
    </xf>
    <xf numFmtId="0" fontId="16" fillId="4" borderId="4" xfId="3" applyFont="1" applyBorder="1" applyAlignment="1">
      <alignment horizontal="left" vertical="center"/>
    </xf>
    <xf numFmtId="0" fontId="15" fillId="3" borderId="4" xfId="2" applyFont="1" applyBorder="1" applyAlignment="1">
      <alignment horizontal="left" vertical="center"/>
    </xf>
    <xf numFmtId="0" fontId="17" fillId="2" borderId="4" xfId="1" applyFont="1" applyBorder="1" applyAlignment="1">
      <alignment horizontal="left" vertical="center"/>
    </xf>
    <xf numFmtId="0" fontId="17" fillId="2" borderId="3" xfId="1" applyFont="1" applyBorder="1" applyAlignment="1">
      <alignment horizontal="left" vertical="center"/>
    </xf>
    <xf numFmtId="0" fontId="16" fillId="4" borderId="10" xfId="3" applyFont="1" applyBorder="1" applyAlignment="1">
      <alignment horizontal="left" vertical="center"/>
    </xf>
    <xf numFmtId="0" fontId="7" fillId="4" borderId="11" xfId="3" applyBorder="1" applyAlignment="1">
      <alignment horizontal="center" vertical="center"/>
    </xf>
    <xf numFmtId="0" fontId="7" fillId="4" borderId="12" xfId="3" applyBorder="1" applyAlignment="1">
      <alignment horizontal="center" vertical="center"/>
    </xf>
    <xf numFmtId="0" fontId="15" fillId="3" borderId="10" xfId="2" applyFont="1" applyBorder="1" applyAlignment="1">
      <alignment horizontal="left" vertical="center"/>
    </xf>
    <xf numFmtId="0" fontId="6" fillId="3" borderId="11" xfId="2" applyBorder="1" applyAlignment="1">
      <alignment horizontal="center" vertical="center"/>
    </xf>
    <xf numFmtId="0" fontId="6" fillId="3" borderId="12" xfId="2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6" fillId="4" borderId="6" xfId="3" applyFont="1" applyBorder="1" applyAlignment="1">
      <alignment horizontal="left" vertical="center"/>
    </xf>
    <xf numFmtId="0" fontId="7" fillId="4" borderId="13" xfId="3" applyBorder="1" applyAlignment="1">
      <alignment horizontal="center" vertical="center"/>
    </xf>
    <xf numFmtId="0" fontId="7" fillId="4" borderId="5" xfId="3" applyBorder="1" applyAlignment="1">
      <alignment horizontal="center" vertical="center"/>
    </xf>
    <xf numFmtId="164" fontId="7" fillId="4" borderId="13" xfId="3" applyNumberFormat="1" applyBorder="1" applyAlignment="1">
      <alignment horizontal="center" vertical="center"/>
    </xf>
    <xf numFmtId="164" fontId="7" fillId="4" borderId="0" xfId="3" applyNumberFormat="1" applyBorder="1" applyAlignment="1">
      <alignment horizontal="center" vertical="center"/>
    </xf>
    <xf numFmtId="164" fontId="7" fillId="4" borderId="11" xfId="3" applyNumberFormat="1" applyBorder="1" applyAlignment="1">
      <alignment horizontal="center" vertical="center"/>
    </xf>
    <xf numFmtId="164" fontId="6" fillId="3" borderId="0" xfId="2" applyNumberFormat="1" applyBorder="1" applyAlignment="1">
      <alignment horizontal="center" vertical="center"/>
    </xf>
    <xf numFmtId="164" fontId="6" fillId="3" borderId="11" xfId="2" applyNumberFormat="1" applyBorder="1" applyAlignment="1">
      <alignment horizontal="center" vertical="center"/>
    </xf>
    <xf numFmtId="164" fontId="3" fillId="2" borderId="0" xfId="1" applyNumberFormat="1" applyBorder="1" applyAlignment="1">
      <alignment horizontal="center" vertical="center"/>
    </xf>
    <xf numFmtId="164" fontId="3" fillId="2" borderId="2" xfId="1" applyNumberFormat="1" applyBorder="1" applyAlignment="1">
      <alignment horizontal="center" vertical="center"/>
    </xf>
    <xf numFmtId="0" fontId="7" fillId="4" borderId="13" xfId="3" applyNumberFormat="1" applyBorder="1" applyAlignment="1">
      <alignment horizontal="center" vertical="center"/>
    </xf>
    <xf numFmtId="1" fontId="7" fillId="4" borderId="14" xfId="3" applyNumberFormat="1" applyBorder="1" applyAlignment="1">
      <alignment horizontal="center" vertical="center"/>
    </xf>
    <xf numFmtId="1" fontId="6" fillId="3" borderId="14" xfId="2" applyNumberFormat="1" applyBorder="1" applyAlignment="1">
      <alignment horizontal="center" vertical="center"/>
    </xf>
    <xf numFmtId="0" fontId="7" fillId="4" borderId="0" xfId="3" applyNumberFormat="1" applyBorder="1" applyAlignment="1">
      <alignment horizontal="center" vertical="center"/>
    </xf>
    <xf numFmtId="0" fontId="7" fillId="4" borderId="11" xfId="3" applyNumberFormat="1" applyBorder="1" applyAlignment="1">
      <alignment horizontal="center" vertical="center"/>
    </xf>
    <xf numFmtId="0" fontId="6" fillId="3" borderId="0" xfId="2" applyNumberFormat="1" applyBorder="1" applyAlignment="1">
      <alignment horizontal="center" vertical="center"/>
    </xf>
    <xf numFmtId="0" fontId="6" fillId="3" borderId="11" xfId="2" applyNumberFormat="1" applyBorder="1" applyAlignment="1">
      <alignment horizontal="center" vertical="center"/>
    </xf>
    <xf numFmtId="0" fontId="3" fillId="2" borderId="0" xfId="1" applyNumberFormat="1" applyBorder="1" applyAlignment="1">
      <alignment horizontal="center" vertical="center"/>
    </xf>
    <xf numFmtId="0" fontId="3" fillId="2" borderId="2" xfId="1" applyNumberForma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" fontId="7" fillId="4" borderId="7" xfId="3" applyNumberFormat="1" applyBorder="1" applyAlignment="1">
      <alignment horizontal="center" vertical="center"/>
    </xf>
    <xf numFmtId="1" fontId="7" fillId="4" borderId="5" xfId="3" applyNumberFormat="1" applyBorder="1" applyAlignment="1">
      <alignment horizontal="center" vertical="center"/>
    </xf>
    <xf numFmtId="1" fontId="7" fillId="4" borderId="8" xfId="3" applyNumberFormat="1" applyBorder="1" applyAlignment="1">
      <alignment horizontal="center" vertical="center"/>
    </xf>
    <xf numFmtId="1" fontId="7" fillId="4" borderId="9" xfId="3" applyNumberFormat="1" applyBorder="1" applyAlignment="1">
      <alignment horizontal="center" vertical="center"/>
    </xf>
    <xf numFmtId="1" fontId="7" fillId="4" borderId="12" xfId="3" applyNumberFormat="1" applyBorder="1" applyAlignment="1">
      <alignment horizontal="center" vertical="center"/>
    </xf>
    <xf numFmtId="1" fontId="6" fillId="3" borderId="8" xfId="2" applyNumberFormat="1" applyBorder="1" applyAlignment="1">
      <alignment horizontal="center" vertical="center"/>
    </xf>
    <xf numFmtId="1" fontId="6" fillId="3" borderId="9" xfId="2" applyNumberFormat="1" applyBorder="1" applyAlignment="1">
      <alignment horizontal="center" vertical="center"/>
    </xf>
    <xf numFmtId="1" fontId="6" fillId="3" borderId="12" xfId="2" applyNumberFormat="1" applyBorder="1" applyAlignment="1">
      <alignment horizontal="center" vertical="center"/>
    </xf>
    <xf numFmtId="1" fontId="3" fillId="2" borderId="8" xfId="1" applyNumberFormat="1" applyBorder="1" applyAlignment="1">
      <alignment horizontal="center" vertical="center"/>
    </xf>
    <xf numFmtId="1" fontId="3" fillId="2" borderId="9" xfId="1" applyNumberFormat="1" applyBorder="1" applyAlignment="1">
      <alignment horizontal="center" vertical="center"/>
    </xf>
    <xf numFmtId="1" fontId="3" fillId="2" borderId="15" xfId="1" applyNumberFormat="1" applyBorder="1" applyAlignment="1">
      <alignment horizontal="center" vertical="center"/>
    </xf>
    <xf numFmtId="1" fontId="3" fillId="2" borderId="1" xfId="1" applyNumberFormat="1" applyBorder="1" applyAlignment="1">
      <alignment horizontal="center" vertical="center"/>
    </xf>
    <xf numFmtId="164" fontId="7" fillId="4" borderId="7" xfId="3" applyNumberFormat="1" applyBorder="1" applyAlignment="1">
      <alignment horizontal="center" vertical="center"/>
    </xf>
    <xf numFmtId="164" fontId="7" fillId="4" borderId="5" xfId="3" applyNumberFormat="1" applyBorder="1" applyAlignment="1">
      <alignment horizontal="center" vertical="center"/>
    </xf>
    <xf numFmtId="164" fontId="7" fillId="4" borderId="8" xfId="3" applyNumberFormat="1" applyBorder="1" applyAlignment="1">
      <alignment horizontal="center" vertical="center"/>
    </xf>
    <xf numFmtId="164" fontId="7" fillId="4" borderId="9" xfId="3" applyNumberFormat="1" applyBorder="1" applyAlignment="1">
      <alignment horizontal="center" vertical="center"/>
    </xf>
    <xf numFmtId="164" fontId="7" fillId="4" borderId="14" xfId="3" applyNumberFormat="1" applyBorder="1" applyAlignment="1">
      <alignment horizontal="center" vertical="center"/>
    </xf>
    <xf numFmtId="164" fontId="7" fillId="4" borderId="12" xfId="3" applyNumberFormat="1" applyBorder="1" applyAlignment="1">
      <alignment horizontal="center" vertical="center"/>
    </xf>
    <xf numFmtId="164" fontId="6" fillId="3" borderId="8" xfId="2" applyNumberFormat="1" applyBorder="1" applyAlignment="1">
      <alignment horizontal="center" vertical="center"/>
    </xf>
    <xf numFmtId="164" fontId="6" fillId="3" borderId="9" xfId="2" applyNumberFormat="1" applyBorder="1" applyAlignment="1">
      <alignment horizontal="center" vertical="center"/>
    </xf>
    <xf numFmtId="164" fontId="6" fillId="3" borderId="14" xfId="2" applyNumberFormat="1" applyBorder="1" applyAlignment="1">
      <alignment horizontal="center" vertical="center"/>
    </xf>
    <xf numFmtId="164" fontId="6" fillId="3" borderId="12" xfId="2" applyNumberFormat="1" applyBorder="1" applyAlignment="1">
      <alignment horizontal="center" vertical="center"/>
    </xf>
    <xf numFmtId="164" fontId="3" fillId="2" borderId="8" xfId="1" applyNumberFormat="1" applyBorder="1" applyAlignment="1">
      <alignment horizontal="center" vertical="center"/>
    </xf>
    <xf numFmtId="164" fontId="3" fillId="2" borderId="9" xfId="1" applyNumberFormat="1" applyBorder="1" applyAlignment="1">
      <alignment horizontal="center" vertical="center"/>
    </xf>
    <xf numFmtId="164" fontId="3" fillId="2" borderId="15" xfId="1" applyNumberFormat="1" applyBorder="1" applyAlignment="1">
      <alignment horizontal="center" vertical="center"/>
    </xf>
    <xf numFmtId="164" fontId="3" fillId="2" borderId="1" xfId="1" applyNumberFormat="1" applyBorder="1" applyAlignment="1">
      <alignment horizontal="center" vertical="center"/>
    </xf>
    <xf numFmtId="0" fontId="7" fillId="4" borderId="7" xfId="3" applyNumberFormat="1" applyBorder="1" applyAlignment="1">
      <alignment horizontal="center" vertical="center"/>
    </xf>
    <xf numFmtId="0" fontId="7" fillId="4" borderId="5" xfId="3" applyNumberFormat="1" applyBorder="1" applyAlignment="1">
      <alignment horizontal="center" vertical="center"/>
    </xf>
    <xf numFmtId="0" fontId="7" fillId="4" borderId="8" xfId="3" applyNumberFormat="1" applyBorder="1" applyAlignment="1">
      <alignment horizontal="center" vertical="center"/>
    </xf>
    <xf numFmtId="0" fontId="7" fillId="4" borderId="9" xfId="3" applyNumberFormat="1" applyBorder="1" applyAlignment="1">
      <alignment horizontal="center" vertical="center"/>
    </xf>
    <xf numFmtId="0" fontId="7" fillId="4" borderId="14" xfId="3" applyNumberFormat="1" applyBorder="1" applyAlignment="1">
      <alignment horizontal="center" vertical="center"/>
    </xf>
    <xf numFmtId="0" fontId="7" fillId="4" borderId="12" xfId="3" applyNumberFormat="1" applyBorder="1" applyAlignment="1">
      <alignment horizontal="center" vertical="center"/>
    </xf>
    <xf numFmtId="0" fontId="6" fillId="3" borderId="8" xfId="2" applyNumberFormat="1" applyBorder="1" applyAlignment="1">
      <alignment horizontal="center" vertical="center"/>
    </xf>
    <xf numFmtId="0" fontId="6" fillId="3" borderId="9" xfId="2" applyNumberFormat="1" applyBorder="1" applyAlignment="1">
      <alignment horizontal="center" vertical="center"/>
    </xf>
    <xf numFmtId="0" fontId="6" fillId="3" borderId="14" xfId="2" applyNumberFormat="1" applyBorder="1" applyAlignment="1">
      <alignment horizontal="center" vertical="center"/>
    </xf>
    <xf numFmtId="0" fontId="6" fillId="3" borderId="12" xfId="2" applyNumberFormat="1" applyBorder="1" applyAlignment="1">
      <alignment horizontal="center" vertical="center"/>
    </xf>
    <xf numFmtId="0" fontId="3" fillId="2" borderId="8" xfId="1" applyNumberFormat="1" applyBorder="1" applyAlignment="1">
      <alignment horizontal="center" vertical="center"/>
    </xf>
    <xf numFmtId="0" fontId="3" fillId="2" borderId="9" xfId="1" applyNumberFormat="1" applyBorder="1" applyAlignment="1">
      <alignment horizontal="center" vertical="center"/>
    </xf>
    <xf numFmtId="0" fontId="3" fillId="2" borderId="15" xfId="1" applyNumberFormat="1" applyBorder="1" applyAlignment="1">
      <alignment horizontal="center" vertical="center"/>
    </xf>
    <xf numFmtId="0" fontId="3" fillId="2" borderId="1" xfId="1" applyNumberFormat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14" fillId="7" borderId="2" xfId="0" applyFont="1" applyFill="1" applyBorder="1" applyAlignment="1">
      <alignment horizontal="center" vertical="center"/>
    </xf>
    <xf numFmtId="0" fontId="8" fillId="4" borderId="0" xfId="3" applyFont="1" applyAlignment="1">
      <alignment horizontal="center" vertical="center" textRotation="90"/>
    </xf>
    <xf numFmtId="0" fontId="9" fillId="3" borderId="0" xfId="2" applyFont="1" applyAlignment="1">
      <alignment horizontal="center" vertical="center" textRotation="90"/>
    </xf>
    <xf numFmtId="0" fontId="10" fillId="2" borderId="0" xfId="1" applyFont="1" applyAlignment="1">
      <alignment horizontal="center" vertical="center" textRotation="90"/>
    </xf>
    <xf numFmtId="0" fontId="11" fillId="6" borderId="0" xfId="0" applyFont="1" applyFill="1" applyBorder="1" applyAlignment="1">
      <alignment horizontal="center" vertical="center"/>
    </xf>
    <xf numFmtId="0" fontId="8" fillId="4" borderId="0" xfId="3" applyFont="1" applyBorder="1" applyAlignment="1">
      <alignment horizontal="center" vertical="center"/>
    </xf>
    <xf numFmtId="0" fontId="9" fillId="3" borderId="0" xfId="2" applyFont="1" applyBorder="1" applyAlignment="1">
      <alignment horizontal="center" vertical="center"/>
    </xf>
    <xf numFmtId="0" fontId="10" fillId="2" borderId="0" xfId="1" applyFont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10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u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Figures!$O$50</c:f>
          <c:strCache>
            <c:ptCount val="1"/>
            <c:pt idx="0">
              <c:v>Background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</c:spPr>
          </c:dPt>
          <c:errBars>
            <c:errBarType val="both"/>
            <c:errValType val="cust"/>
            <c:noEndCap val="0"/>
            <c:plus>
              <c:numRef>
                <c:f>Figures!$J$7:$K$7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Figures!$J$7:$K$7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Figures!$H$7:$I$7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21584000"/>
        <c:axId val="72157366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Figures!$P$52:$Q$52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Figures!$P$53:$Q$53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Figures!$P$54:$Q$54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Figures!$P$55:$Q$55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Figures!$P$56:$Q$56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Figures!$P$57:$Q$57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Figures!$P$58:$Q$58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84000"/>
        <c:axId val="721573664"/>
      </c:lineChart>
      <c:catAx>
        <c:axId val="72158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3664"/>
        <c:crosses val="autoZero"/>
        <c:auto val="1"/>
        <c:lblAlgn val="ctr"/>
        <c:lblOffset val="100"/>
        <c:noMultiLvlLbl val="0"/>
      </c:catAx>
      <c:valAx>
        <c:axId val="7215736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40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Figures!$V$50</c:f>
          <c:strCache>
            <c:ptCount val="1"/>
            <c:pt idx="0">
              <c:v>Background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Figures!$V$50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Figures!$J$8:$K$8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Figures!$J$8:$K$8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21551904"/>
        <c:axId val="72155788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Figures!$W$52:$X$52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Figures!$W$53:$X$53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Figures!$W$54:$X$54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Figures!$W$55:$X$55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Figures!$W$56:$X$56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Figures!$W$57:$X$57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Figures!$W$58:$X$58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51904"/>
        <c:axId val="721557888"/>
      </c:lineChart>
      <c:catAx>
        <c:axId val="72155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57888"/>
        <c:crosses val="autoZero"/>
        <c:auto val="1"/>
        <c:lblAlgn val="ctr"/>
        <c:lblOffset val="100"/>
        <c:noMultiLvlLbl val="0"/>
      </c:catAx>
      <c:valAx>
        <c:axId val="7215578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519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Figures!$AC$50</c:f>
          <c:strCache>
            <c:ptCount val="1"/>
            <c:pt idx="0">
              <c:v>Percent of Spikes Occurring in Bursts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Figures!$AC$50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Figures!$J$9:$K$9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Figures!$J$9:$K$9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Figures!$H$9:$I$9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21564960"/>
        <c:axId val="7215524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Figures!$AD$52:$AE$52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Figures!$AD$53:$AE$53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Figures!$AD$54:$AE$54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Figures!$AD$55:$AE$55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Figures!$AD$56:$AE$56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Figures!$AD$57:$AE$57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Figures!$AD$58:$AE$58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64960"/>
        <c:axId val="721552448"/>
      </c:lineChart>
      <c:catAx>
        <c:axId val="72156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52448"/>
        <c:crosses val="autoZero"/>
        <c:auto val="1"/>
        <c:lblAlgn val="ctr"/>
        <c:lblOffset val="100"/>
        <c:noMultiLvlLbl val="0"/>
      </c:catAx>
      <c:valAx>
        <c:axId val="721552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49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Figures!$AJ$50</c:f>
          <c:strCache>
            <c:ptCount val="1"/>
            <c:pt idx="0">
              <c:v>Burst Frequency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Figures!$AJ$50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Figures!$J$10:$K$10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Figures!$J$10:$K$10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Figures!$H$10:$I$10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21572032"/>
        <c:axId val="72155462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Figures!$AK$52:$AL$52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Figures!$AK$53:$AL$53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Figures!$AK$54:$AL$54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Figures!$AK$55:$AL$55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Figures!$AK$56:$AL$56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Figures!$AK$57:$AL$57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Figures!$AK$58:$AL$58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72032"/>
        <c:axId val="721554624"/>
      </c:lineChart>
      <c:catAx>
        <c:axId val="72157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54624"/>
        <c:crosses val="autoZero"/>
        <c:auto val="1"/>
        <c:lblAlgn val="ctr"/>
        <c:lblOffset val="100"/>
        <c:noMultiLvlLbl val="0"/>
      </c:catAx>
      <c:valAx>
        <c:axId val="7215546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Figures!$AQ$50</c:f>
          <c:strCache>
            <c:ptCount val="1"/>
            <c:pt idx="0">
              <c:v>Background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Figures!$AQ$50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Figures!$J$11:$K$11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Figures!$J$11:$K$11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Figures!$H$11:$I$11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21556256"/>
        <c:axId val="7215655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Figures!$AR$52:$AS$52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Figures!$AR$53:$AS$53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Figures!$AR$54:$AS$54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Figures!$AR$55:$AS$55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Figures!$AR$56:$AS$56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Figures!$AR$57:$AS$57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Figures!$AR$58:$AS$58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56256"/>
        <c:axId val="721565504"/>
      </c:lineChart>
      <c:catAx>
        <c:axId val="72155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5504"/>
        <c:crosses val="autoZero"/>
        <c:auto val="1"/>
        <c:lblAlgn val="ctr"/>
        <c:lblOffset val="100"/>
        <c:noMultiLvlLbl val="0"/>
      </c:catAx>
      <c:valAx>
        <c:axId val="7215655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562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Figures!$O$82:$S$82</c:f>
          <c:strCache>
            <c:ptCount val="5"/>
            <c:pt idx="0">
              <c:v>Background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Figures!$O$82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Figures!$J$13:$K$13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Figures!$J$13:$K$13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Figures!$H$13:$I$13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21569312"/>
        <c:axId val="72155680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Figures!$P$84:$Q$84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Figures!$P$85:$Q$85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Figures!$P$86:$Q$86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Figures!$P$87:$Q$87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Figures!$P$88:$Q$88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Figures!$P$89:$Q$89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Figures!$P$90:$Q$90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69312"/>
        <c:axId val="721556800"/>
      </c:lineChart>
      <c:catAx>
        <c:axId val="7215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56800"/>
        <c:crosses val="autoZero"/>
        <c:auto val="1"/>
        <c:lblAlgn val="ctr"/>
        <c:lblOffset val="100"/>
        <c:noMultiLvlLbl val="0"/>
      </c:catAx>
      <c:valAx>
        <c:axId val="72155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9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Figures!$V$82:$Y$82</c:f>
          <c:strCache>
            <c:ptCount val="4"/>
            <c:pt idx="0">
              <c:v>Wave-Burst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Figures!$V$82</c:f>
              <c:strCache>
                <c:ptCount val="1"/>
                <c:pt idx="0">
                  <c:v>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Figures!$J$14:$K$14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Figures!$J$14:$K$14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Figures!$H$14:$I$14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21581280"/>
        <c:axId val="72156713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Figures!$W$84:$X$84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Figures!$W$85:$X$85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Figures!$W$86:$X$86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Figures!$W$87:$X$87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Figures!$W$88:$X$88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Figures!$W$89:$X$89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Figures!$W$90:$X$90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81280"/>
        <c:axId val="721567136"/>
      </c:lineChart>
      <c:catAx>
        <c:axId val="72158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7136"/>
        <c:crosses val="autoZero"/>
        <c:auto val="1"/>
        <c:lblAlgn val="ctr"/>
        <c:lblOffset val="100"/>
        <c:noMultiLvlLbl val="0"/>
      </c:catAx>
      <c:valAx>
        <c:axId val="721567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12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Figures!$AC$82:$AF$82</c:f>
          <c:strCache>
            <c:ptCount val="4"/>
            <c:pt idx="0">
              <c:v>Wave-Burst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Figures!$AC$82</c:f>
              <c:strCache>
                <c:ptCount val="1"/>
                <c:pt idx="0">
                  <c:v>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Figures!$J$15:$K$15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Figures!$J$15:$K$15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Figures!$H$15:$I$15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21569856"/>
        <c:axId val="72155952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Figures!$AD$84:$AE$84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Figures!$AD$85:$AE$85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Figures!$AD$86:$AE$86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Figures!$AD$87:$AE$87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Figures!$AD$88:$AE$88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Figures!$AD$89:$AE$89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Figures!$AD$90:$AE$90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69856"/>
        <c:axId val="721559520"/>
      </c:lineChart>
      <c:catAx>
        <c:axId val="72156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59520"/>
        <c:crosses val="autoZero"/>
        <c:auto val="1"/>
        <c:lblAlgn val="ctr"/>
        <c:lblOffset val="100"/>
        <c:noMultiLvlLbl val="0"/>
      </c:catAx>
      <c:valAx>
        <c:axId val="7215595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98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Figures!$AJ$82:$AM$82</c:f>
          <c:strCache>
            <c:ptCount val="4"/>
            <c:pt idx="0">
              <c:v>Percent Wave-Burst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Figures!$AJ$82</c:f>
              <c:strCache>
                <c:ptCount val="1"/>
                <c:pt idx="0">
                  <c:v>Percent 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Figures!$J$16:$K$16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Figures!$J$16:$K$16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Figures!$H$16:$I$16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21573120"/>
        <c:axId val="7215606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Figures!$AK$84:$AL$84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Figures!$AK$85:$AL$85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Figures!$AK$86:$AL$86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Figures!$AK$87:$AL$87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Figures!$AK$88:$AL$88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Figures!$AK$89:$AL$89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Figures!$AK$90:$AL$90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73120"/>
        <c:axId val="721560608"/>
      </c:lineChart>
      <c:catAx>
        <c:axId val="72157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0608"/>
        <c:crosses val="autoZero"/>
        <c:auto val="1"/>
        <c:lblAlgn val="ctr"/>
        <c:lblOffset val="100"/>
        <c:noMultiLvlLbl val="0"/>
      </c:catAx>
      <c:valAx>
        <c:axId val="721560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31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Figures!$AQ$82:$AT$82</c:f>
          <c:strCache>
            <c:ptCount val="4"/>
            <c:pt idx="0">
              <c:v>Spikes Per Wave-Burst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Figures!$AQ$82</c:f>
              <c:strCache>
                <c:ptCount val="1"/>
                <c:pt idx="0">
                  <c:v>Spikes Per 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Figures!$J$17:$K$17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Figures!$J$17:$K$17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Figures!$H$17:$I$17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19810928"/>
        <c:axId val="7197984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Figures!$AR$84:$AS$84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Figures!$AR$85:$AS$85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Figures!$AR$86:$AS$86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Figures!$AR$87:$AS$87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Figures!$AR$88:$AS$88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Figures!$AR$89:$AS$89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Figures!$AR$90:$AS$90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810928"/>
        <c:axId val="719798416"/>
      </c:lineChart>
      <c:catAx>
        <c:axId val="71981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798416"/>
        <c:crosses val="autoZero"/>
        <c:auto val="1"/>
        <c:lblAlgn val="ctr"/>
        <c:lblOffset val="100"/>
        <c:noMultiLvlLbl val="0"/>
      </c:catAx>
      <c:valAx>
        <c:axId val="7197984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8109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Figures!$O$114:$S$114</c:f>
          <c:strCache>
            <c:ptCount val="5"/>
            <c:pt idx="0">
              <c:v>Non-Wave-Burst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Figures!$O$114</c:f>
              <c:strCache>
                <c:ptCount val="1"/>
                <c:pt idx="0">
                  <c:v>Non-Wave-Burst Duration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Figures!$J$18:$K$18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Figures!$J$18:$K$18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Figures!$H$18:$I$18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19797328"/>
        <c:axId val="7198267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Figures!$P$116:$Q$116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Figures!$P$117:$Q$117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Figures!$P$118:$Q$118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Figures!$P$119:$Q$119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Figures!$P$120:$Q$120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Figures!$P$121:$Q$121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Figures!$P$122:$Q$122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797328"/>
        <c:axId val="719826704"/>
      </c:lineChart>
      <c:catAx>
        <c:axId val="71979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826704"/>
        <c:crosses val="autoZero"/>
        <c:auto val="1"/>
        <c:lblAlgn val="ctr"/>
        <c:lblOffset val="100"/>
        <c:noMultiLvlLbl val="0"/>
      </c:catAx>
      <c:valAx>
        <c:axId val="71982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7973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Figures!$V$114:$Y$114</c:f>
          <c:strCache>
            <c:ptCount val="4"/>
            <c:pt idx="0">
              <c:v>Non-Wave-Burst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Figures!$V$114</c:f>
              <c:strCache>
                <c:ptCount val="1"/>
                <c:pt idx="0">
                  <c:v>Non-Wave-Burst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Figures!$J$19:$K$19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Figures!$J$19:$K$19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Figures!$H$19:$I$19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19823440"/>
        <c:axId val="7198082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Figures!$W$116:$X$116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Figures!$W$117:$X$117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Figures!$W$118:$X$118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Figures!$W$119:$X$119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Figures!$W$120:$X$120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Figures!$W$121:$X$121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Figures!$W$122:$X$122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823440"/>
        <c:axId val="719808208"/>
      </c:lineChart>
      <c:catAx>
        <c:axId val="71982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808208"/>
        <c:crosses val="autoZero"/>
        <c:auto val="1"/>
        <c:lblAlgn val="ctr"/>
        <c:lblOffset val="100"/>
        <c:noMultiLvlLbl val="0"/>
      </c:catAx>
      <c:valAx>
        <c:axId val="719808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8234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Figures!$AC$114:$AF$114</c:f>
          <c:strCache>
            <c:ptCount val="4"/>
            <c:pt idx="0">
              <c:v>Non-Wave-Burst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Figures!$AC$114</c:f>
              <c:strCache>
                <c:ptCount val="1"/>
                <c:pt idx="0">
                  <c:v>Non-Wave-Burst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Figures!$J$20:$K$20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Figures!$J$20:$K$20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Figures!$H$20:$I$20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19825072"/>
        <c:axId val="7198256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Figures!$AD$116:$AE$116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Figures!$AD$117:$AE$117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Figures!$AD$118:$AE$118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Figures!$AD$119:$AE$119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Figures!$AD$120:$AE$120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Figures!$AD$121:$AE$121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Figures!$AD$122:$AE$122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825072"/>
        <c:axId val="719825616"/>
      </c:lineChart>
      <c:catAx>
        <c:axId val="71982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825616"/>
        <c:crosses val="autoZero"/>
        <c:auto val="1"/>
        <c:lblAlgn val="ctr"/>
        <c:lblOffset val="100"/>
        <c:noMultiLvlLbl val="0"/>
      </c:catAx>
      <c:valAx>
        <c:axId val="7198256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82507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Figures!$AJ$114:$AM$114</c:f>
          <c:strCache>
            <c:ptCount val="4"/>
            <c:pt idx="0">
              <c:v>Percent Non-Wave-Burst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Figures!$AJ$114</c:f>
              <c:strCache>
                <c:ptCount val="1"/>
                <c:pt idx="0">
                  <c:v>Percent Non-Wave-Burst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Figures!$J$21:$K$21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Figures!$J$21:$K$21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Figures!$H$21:$I$21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19805488"/>
        <c:axId val="71980984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Figures!$AK$116:$AL$116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Figures!$AK$117:$AL$117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Figures!$AK$118:$AL$118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Figures!$AK$119:$AL$119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Figures!$AK$120:$AL$120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Figures!$AK$121:$AL$121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Figures!$AK$122:$AL$122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805488"/>
        <c:axId val="719809840"/>
      </c:lineChart>
      <c:catAx>
        <c:axId val="71980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809840"/>
        <c:crosses val="autoZero"/>
        <c:auto val="1"/>
        <c:lblAlgn val="ctr"/>
        <c:lblOffset val="100"/>
        <c:noMultiLvlLbl val="0"/>
      </c:catAx>
      <c:valAx>
        <c:axId val="719809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8054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Figures!$AQ$114:$AT$114</c:f>
          <c:strCache>
            <c:ptCount val="4"/>
            <c:pt idx="0">
              <c:v>Spikes Per Non-Wave-Burst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Figures!$AQ$114</c:f>
              <c:strCache>
                <c:ptCount val="1"/>
                <c:pt idx="0">
                  <c:v>Spikes Per Non-Wave-Burst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Figures!$J$22:$K$22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Figures!$J$22:$K$22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Figures!$H$22:$I$22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76289616"/>
        <c:axId val="7192669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Figures!$AR$116:$AS$116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Figures!$AR$117:$AS$117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Figures!$AR$118:$AS$118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Figures!$AR$119:$AS$119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Figures!$AR$120:$AS$120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Figures!$AR$121:$AS$121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Figures!$AR$122:$AS$122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89616"/>
        <c:axId val="719266976"/>
      </c:lineChart>
      <c:catAx>
        <c:axId val="47628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66976"/>
        <c:crosses val="autoZero"/>
        <c:auto val="1"/>
        <c:lblAlgn val="ctr"/>
        <c:lblOffset val="100"/>
        <c:noMultiLvlLbl val="0"/>
      </c:catAx>
      <c:valAx>
        <c:axId val="7192669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89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Figures!$AX$50</c:f>
          <c:strCache>
            <c:ptCount val="1"/>
            <c:pt idx="0">
              <c:v>Percent of Bursts Occurring In Waves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Figures!$AX$50</c:f>
              <c:strCache>
                <c:ptCount val="1"/>
                <c:pt idx="0">
                  <c:v>Percent of Bursts Occurring In Waves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Figures!$J$12:$K$12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Figures!$J$12:$K$12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Figures!$H$12:$I$12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35585600"/>
        <c:axId val="73557689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Figures!$AY$52:$AZ$52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Figures!$AY$53:$AZ$53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Figures!$AY$54:$AZ$54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Figures!$AY$55:$AZ$55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Figures!$AY$56:$AZ$56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Figures!$AY$57:$AZ$57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Figures!$AY$58:$AZ$58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585600"/>
        <c:axId val="735576896"/>
      </c:lineChart>
      <c:catAx>
        <c:axId val="7355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76896"/>
        <c:crosses val="autoZero"/>
        <c:auto val="1"/>
        <c:lblAlgn val="ctr"/>
        <c:lblOffset val="100"/>
        <c:noMultiLvlLbl val="0"/>
      </c:catAx>
      <c:valAx>
        <c:axId val="7355768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856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Percent Change In RGC Firing Properties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Figures!$L$6</c:f>
              <c:strCache>
                <c:ptCount val="1"/>
                <c:pt idx="0">
                  <c:v>DTA_Normalized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4.4774810427725825E-2"/>
                  <c:y val="2.0997375330528407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2.5418833044482874E-2"/>
                  <c:y val="2.0997375328083989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2.5419014997475401E-2"/>
                  <c:y val="5.333543307086614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2.0797227036395149E-2"/>
                  <c:y val="2.66666666666666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4.1594454072790298E-2"/>
                  <c:y val="2.666876640420045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6.9324090121317154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4.1594454072790298E-2"/>
                  <c:y val="2.66687664041994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8.5499711149624499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layout>
                <c:manualLayout>
                  <c:x val="4.3905257076834119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layout>
                <c:manualLayout>
                  <c:x val="7.8567302137492689E-2"/>
                  <c:y val="5.333333333333333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Figures!$M$7:$M$22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Figures!$M$7:$M$22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Figures!$A$7:$A$22</c:f>
              <c:strCache>
                <c:ptCount val="16"/>
                <c:pt idx="0">
                  <c:v>Background Firing Rate</c:v>
                </c:pt>
                <c:pt idx="1">
                  <c:v>Background Interspike Interval</c:v>
                </c:pt>
                <c:pt idx="2">
                  <c:v>Percent of Spikes Occurring in Bursts</c:v>
                </c:pt>
                <c:pt idx="3">
                  <c:v>Burst Frequency</c:v>
                </c:pt>
                <c:pt idx="4">
                  <c:v>Background Firing Rate</c:v>
                </c:pt>
                <c:pt idx="5">
                  <c:v>Percent of Bursts Occurring In Waves</c:v>
                </c:pt>
                <c:pt idx="6">
                  <c:v>Background Firing Rate</c:v>
                </c:pt>
                <c:pt idx="7">
                  <c:v>Wave-Burst Firing Rate</c:v>
                </c:pt>
                <c:pt idx="8">
                  <c:v>Wave-Burst Interspike Interval</c:v>
                </c:pt>
                <c:pt idx="9">
                  <c:v>Percent Wave-Burst Time &gt;10 Hz</c:v>
                </c:pt>
                <c:pt idx="10">
                  <c:v>Spikes Per Wave-Burst</c:v>
                </c:pt>
                <c:pt idx="11">
                  <c:v>Non-Wave-Burst Duration</c:v>
                </c:pt>
                <c:pt idx="12">
                  <c:v>Non-Wave-Burst Firing Rate</c:v>
                </c:pt>
                <c:pt idx="13">
                  <c:v>Non-Wave-Burst Interspike Interval</c:v>
                </c:pt>
                <c:pt idx="14">
                  <c:v>Percent Non-Wave-Burst Time &gt;10 Hz</c:v>
                </c:pt>
                <c:pt idx="15">
                  <c:v>Spikes Per Non-Wave-Burst</c:v>
                </c:pt>
              </c:strCache>
            </c:strRef>
          </c:cat>
          <c:val>
            <c:numRef>
              <c:f>Figures!$L$7:$L$22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735568736"/>
        <c:axId val="735572544"/>
      </c:barChart>
      <c:catAx>
        <c:axId val="7355687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72544"/>
        <c:crossesAt val="0"/>
        <c:auto val="1"/>
        <c:lblAlgn val="ctr"/>
        <c:lblOffset val="400"/>
        <c:noMultiLvlLbl val="0"/>
      </c:catAx>
      <c:valAx>
        <c:axId val="7355725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735568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</xdr:row>
          <xdr:rowOff>171450</xdr:rowOff>
        </xdr:from>
        <xdr:to>
          <xdr:col>14</xdr:col>
          <xdr:colOff>352425</xdr:colOff>
          <xdr:row>5</xdr:row>
          <xdr:rowOff>38100</xdr:rowOff>
        </xdr:to>
        <xdr:sp macro="" textlink="">
          <xdr:nvSpPr>
            <xdr:cNvPr id="10242" name="DeleteChk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</xdr:colOff>
      <xdr:row>33</xdr:row>
      <xdr:rowOff>1</xdr:rowOff>
    </xdr:from>
    <xdr:to>
      <xdr:col>17</xdr:col>
      <xdr:colOff>0</xdr:colOff>
      <xdr:row>47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33</xdr:row>
      <xdr:rowOff>0</xdr:rowOff>
    </xdr:from>
    <xdr:to>
      <xdr:col>24</xdr:col>
      <xdr:colOff>0</xdr:colOff>
      <xdr:row>47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609598</xdr:colOff>
      <xdr:row>33</xdr:row>
      <xdr:rowOff>0</xdr:rowOff>
    </xdr:from>
    <xdr:to>
      <xdr:col>31</xdr:col>
      <xdr:colOff>0</xdr:colOff>
      <xdr:row>47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0</xdr:colOff>
      <xdr:row>33</xdr:row>
      <xdr:rowOff>0</xdr:rowOff>
    </xdr:from>
    <xdr:to>
      <xdr:col>38</xdr:col>
      <xdr:colOff>0</xdr:colOff>
      <xdr:row>47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0</xdr:colOff>
      <xdr:row>33</xdr:row>
      <xdr:rowOff>0</xdr:rowOff>
    </xdr:from>
    <xdr:to>
      <xdr:col>45</xdr:col>
      <xdr:colOff>0</xdr:colOff>
      <xdr:row>47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</xdr:colOff>
      <xdr:row>64</xdr:row>
      <xdr:rowOff>0</xdr:rowOff>
    </xdr:from>
    <xdr:to>
      <xdr:col>17</xdr:col>
      <xdr:colOff>0</xdr:colOff>
      <xdr:row>78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63</xdr:row>
      <xdr:rowOff>0</xdr:rowOff>
    </xdr:from>
    <xdr:to>
      <xdr:col>24</xdr:col>
      <xdr:colOff>0</xdr:colOff>
      <xdr:row>78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1</xdr:colOff>
      <xdr:row>62</xdr:row>
      <xdr:rowOff>0</xdr:rowOff>
    </xdr:from>
    <xdr:to>
      <xdr:col>31</xdr:col>
      <xdr:colOff>0</xdr:colOff>
      <xdr:row>77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1</xdr:colOff>
      <xdr:row>62</xdr:row>
      <xdr:rowOff>0</xdr:rowOff>
    </xdr:from>
    <xdr:to>
      <xdr:col>38</xdr:col>
      <xdr:colOff>0</xdr:colOff>
      <xdr:row>78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581025</xdr:colOff>
      <xdr:row>62</xdr:row>
      <xdr:rowOff>0</xdr:rowOff>
    </xdr:from>
    <xdr:to>
      <xdr:col>45</xdr:col>
      <xdr:colOff>0</xdr:colOff>
      <xdr:row>77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1</xdr:colOff>
      <xdr:row>96</xdr:row>
      <xdr:rowOff>0</xdr:rowOff>
    </xdr:from>
    <xdr:to>
      <xdr:col>17</xdr:col>
      <xdr:colOff>0</xdr:colOff>
      <xdr:row>110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0</xdr:colOff>
      <xdr:row>95</xdr:row>
      <xdr:rowOff>0</xdr:rowOff>
    </xdr:from>
    <xdr:to>
      <xdr:col>24</xdr:col>
      <xdr:colOff>0</xdr:colOff>
      <xdr:row>110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28</xdr:col>
      <xdr:colOff>0</xdr:colOff>
      <xdr:row>94</xdr:row>
      <xdr:rowOff>0</xdr:rowOff>
    </xdr:from>
    <xdr:to>
      <xdr:col>30</xdr:col>
      <xdr:colOff>800099</xdr:colOff>
      <xdr:row>109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1</xdr:colOff>
      <xdr:row>94</xdr:row>
      <xdr:rowOff>0</xdr:rowOff>
    </xdr:from>
    <xdr:to>
      <xdr:col>38</xdr:col>
      <xdr:colOff>0</xdr:colOff>
      <xdr:row>110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41</xdr:col>
      <xdr:colOff>581025</xdr:colOff>
      <xdr:row>94</xdr:row>
      <xdr:rowOff>0</xdr:rowOff>
    </xdr:from>
    <xdr:to>
      <xdr:col>45</xdr:col>
      <xdr:colOff>0</xdr:colOff>
      <xdr:row>109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49</xdr:col>
      <xdr:colOff>0</xdr:colOff>
      <xdr:row>33</xdr:row>
      <xdr:rowOff>0</xdr:rowOff>
    </xdr:from>
    <xdr:to>
      <xdr:col>52</xdr:col>
      <xdr:colOff>0</xdr:colOff>
      <xdr:row>47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9525</xdr:colOff>
      <xdr:row>0</xdr:row>
      <xdr:rowOff>0</xdr:rowOff>
    </xdr:from>
    <xdr:to>
      <xdr:col>24</xdr:col>
      <xdr:colOff>228600</xdr:colOff>
      <xdr:row>27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Contents" displayName="Contents" ref="A1:D3" insertRow="1" totalsRowCount="1" headerRowDxfId="103">
  <autoFilter ref="A1:D2"/>
  <tableColumns count="4">
    <tableColumn id="3" name="Population" totalsRowLabel="Count" dataDxfId="102" totalsRowDxfId="101"/>
    <tableColumn id="1" name="Retina ID" totalsRowFunction="count" dataDxfId="100" totalsRowDxfId="99"/>
    <tableColumn id="2" name="Processed WAB Workbook" dataDxfId="98" totalsRowDxfId="97"/>
    <tableColumn id="4" name="Processed NWAB Workbook" dataDxfId="96" totalsRowDxfId="9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InvalidsTbl" displayName="InvalidsTbl" ref="A6:C7" insertRow="1" totalsRowShown="0" headerRowDxfId="94" dataDxfId="93">
  <autoFilter ref="A6:C7"/>
  <tableColumns count="3">
    <tableColumn id="1" name="Population" dataDxfId="92"/>
    <tableColumn id="2" name="Retina ID" dataDxfId="91"/>
    <tableColumn id="3" name="Unit" dataDxfId="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WT_Dark_All" displayName="WT_Dark_All" ref="A2:H3" insertRow="1" headerRowDxfId="88" dataDxfId="87" totalsRowDxfId="86" dataCellStyle="Normal">
  <autoFilter ref="A2:H3"/>
  <sortState ref="A3:H262">
    <sortCondition ref="C2:C262"/>
  </sortState>
  <tableColumns count="8">
    <tableColumn id="11" name="Retina" totalsRowLabel="Total" dataDxfId="85" totalsRowDxfId="84" dataCellStyle="Normal"/>
    <tableColumn id="1" name="Cell" totalsRowFunction="count" dataDxfId="83" dataCellStyle="Normal"/>
    <tableColumn id="2" name="BkgrdFiringRate" totalsRowFunction="average" dataDxfId="82" dataCellStyle="Normal"/>
    <tableColumn id="3" name="BkgrdISI" totalsRowFunction="average" dataDxfId="81" dataCellStyle="Normal"/>
    <tableColumn id="4" name="PercentSpikesInBursts" totalsRowFunction="average" dataDxfId="80" dataCellStyle="Normal"/>
    <tableColumn id="5" name="BurstFrequency" totalsRowFunction="average" dataDxfId="79" dataCellStyle="Normal"/>
    <tableColumn id="6" name="IBI" totalsRowFunction="average" dataDxfId="78" dataCellStyle="Normal"/>
    <tableColumn id="7" name="PercentBurstsInWaves" dataDxfId="77" totalsRowDxfId="76" dataCellStyle="Norm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WT_Dark_WABs" displayName="WT_Dark_WABs" ref="A2:G3" insertRow="1" headerRowDxfId="75" dataDxfId="74" totalsRowDxfId="73" dataCellStyle="Normal">
  <autoFilter ref="A2:G3"/>
  <tableColumns count="7">
    <tableColumn id="11" name="Retina" totalsRowLabel="Total" dataDxfId="72" totalsRowDxfId="71" dataCellStyle="Normal"/>
    <tableColumn id="1" name="Cell" totalsRowFunction="count" dataDxfId="70" dataCellStyle="Normal"/>
    <tableColumn id="20" name="BurstDuration" dataDxfId="69" dataCellStyle="Normal"/>
    <tableColumn id="21" name="BurstFiringRate" dataDxfId="68" dataCellStyle="Normal"/>
    <tableColumn id="23" name="BurstISI" dataDxfId="67" dataCellStyle="Normal"/>
    <tableColumn id="22" name="PercentBurstTimeAbove10Hz" dataDxfId="66" dataCellStyle="Normal"/>
    <tableColumn id="24" name="SpikesPerBurst" dataDxfId="65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WT_Dark_NonWABs" displayName="WT_Dark_NonWABs" ref="A2:G3" insertRow="1" headerRowDxfId="64" dataDxfId="63" totalsRowDxfId="62" dataCellStyle="Normal">
  <autoFilter ref="A2:G3"/>
  <tableColumns count="7">
    <tableColumn id="11" name="Retina" totalsRowLabel="Total" dataDxfId="61" totalsRowDxfId="60" dataCellStyle="Normal"/>
    <tableColumn id="1" name="Cell" totalsRowFunction="count" dataDxfId="59" dataCellStyle="Normal"/>
    <tableColumn id="25" name="BurstDuration" dataDxfId="58" totalsRowDxfId="57" dataCellStyle="Normal"/>
    <tableColumn id="26" name="BurstFiringRate" dataDxfId="56" totalsRowDxfId="55" dataCellStyle="Normal"/>
    <tableColumn id="28" name="BurstISI" dataDxfId="54" totalsRowDxfId="53" dataCellStyle="Normal"/>
    <tableColumn id="27" name="PercentBurstTimeAbove10Hz" dataDxfId="52" totalsRowDxfId="51" dataCellStyle="Normal"/>
    <tableColumn id="29" name="SpikesPerBurst" dataDxfId="50" totalsRowDxfId="49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DTA_Dark_All" displayName="DTA_Dark_All" ref="A2:H3" insertRow="1" headerRowDxfId="48" dataDxfId="47" dataCellStyle="Normal">
  <autoFilter ref="A2:H3"/>
  <sortState ref="A3:H215">
    <sortCondition ref="B2:B215"/>
  </sortState>
  <tableColumns count="8">
    <tableColumn id="11" name="Retina" totalsRowLabel="Total" dataDxfId="46" totalsRowDxfId="45" dataCellStyle="Normal"/>
    <tableColumn id="1" name="Cell" dataDxfId="44" totalsRowDxfId="43" dataCellStyle="Normal"/>
    <tableColumn id="2" name="BkgrdFiringRate" totalsRowFunction="average" dataDxfId="42" totalsRowDxfId="41" dataCellStyle="Normal"/>
    <tableColumn id="3" name="BkgrdISI" totalsRowFunction="average" dataDxfId="40" totalsRowDxfId="39" dataCellStyle="Normal"/>
    <tableColumn id="4" name="PercentSpikesInBursts" totalsRowFunction="average" dataDxfId="38" totalsRowDxfId="37" dataCellStyle="Normal"/>
    <tableColumn id="5" name="BurstFrequency" totalsRowFunction="average" dataDxfId="36" totalsRowDxfId="35" dataCellStyle="Normal"/>
    <tableColumn id="6" name="IBI" totalsRowFunction="average" dataDxfId="34" dataCellStyle="Normal"/>
    <tableColumn id="7" name="PercentBurstsInWaves" dataDxfId="33" totalsRowDxfId="32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DTA_Dark_WABs" displayName="DTA_Dark_WABs" ref="A2:G3" insertRow="1" headerRowDxfId="31" dataDxfId="30" dataCellStyle="Normal">
  <autoFilter ref="A2:G3"/>
  <tableColumns count="7">
    <tableColumn id="11" name="Retina" totalsRowLabel="Total" dataDxfId="29" totalsRowDxfId="28" dataCellStyle="Normal"/>
    <tableColumn id="1" name="Cell" dataDxfId="27" totalsRowDxfId="26" dataCellStyle="Normal"/>
    <tableColumn id="7" name="BurstDuration" totalsRowFunction="average" dataDxfId="25" totalsRowDxfId="24" dataCellStyle="Normal"/>
    <tableColumn id="8" name="BurstFiringRate" totalsRowFunction="average" dataDxfId="23" totalsRowDxfId="22" dataCellStyle="Normal"/>
    <tableColumn id="10" name="BurstISI" totalsRowFunction="average" dataDxfId="21" totalsRowDxfId="20" dataCellStyle="Normal"/>
    <tableColumn id="9" name="PercentBurstTimeAbove10Hz" totalsRowFunction="average" dataDxfId="19" totalsRowDxfId="18" dataCellStyle="Normal"/>
    <tableColumn id="12" name="SpikesPerBurst" dataDxfId="17" totalsRowDxfId="16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DTA_Dark_NonWABs" displayName="DTA_Dark_NonWABs" ref="A2:G3" insertRow="1" headerRowDxfId="15" dataDxfId="14" dataCellStyle="Normal">
  <autoFilter ref="A2:G3"/>
  <tableColumns count="7">
    <tableColumn id="11" name="Retina" totalsRowLabel="Total" dataDxfId="13" totalsRowDxfId="12" dataCellStyle="Normal"/>
    <tableColumn id="1" name="Cell" dataDxfId="11" totalsRowDxfId="10" dataCellStyle="Normal"/>
    <tableColumn id="13" name="BurstDuration" dataDxfId="9" totalsRowDxfId="8" dataCellStyle="Normal"/>
    <tableColumn id="14" name="BurstFiringRate" dataDxfId="7" totalsRowDxfId="6" dataCellStyle="Normal"/>
    <tableColumn id="16" name="BurstISI" dataDxfId="5" totalsRowDxfId="4" dataCellStyle="Normal"/>
    <tableColumn id="15" name="PercentBurstTimeAbove10Hz" dataDxfId="3" totalsRowDxfId="2" dataCellStyle="Normal"/>
    <tableColumn id="17" name="SpikesPerBurst" dataDxfId="1" totalsRow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3"/>
  <sheetViews>
    <sheetView tabSelected="1" workbookViewId="0">
      <selection activeCell="A2" sqref="A2"/>
    </sheetView>
  </sheetViews>
  <sheetFormatPr defaultRowHeight="15" x14ac:dyDescent="0.25"/>
  <cols>
    <col min="1" max="1" width="13" style="1" bestFit="1" customWidth="1"/>
    <col min="2" max="2" width="11.28515625" style="1" bestFit="1" customWidth="1"/>
    <col min="3" max="3" width="70.140625" style="1" bestFit="1" customWidth="1"/>
    <col min="4" max="4" width="71.7109375" style="1" bestFit="1" customWidth="1"/>
    <col min="5" max="16384" width="9.140625" style="1"/>
  </cols>
  <sheetData>
    <row r="1" spans="1:4" x14ac:dyDescent="0.25">
      <c r="A1" s="7" t="s">
        <v>42</v>
      </c>
      <c r="B1" s="7" t="s">
        <v>43</v>
      </c>
      <c r="C1" s="7" t="s">
        <v>44</v>
      </c>
      <c r="D1" s="7" t="s">
        <v>45</v>
      </c>
    </row>
    <row r="2" spans="1:4" x14ac:dyDescent="0.25">
      <c r="B2" s="16"/>
      <c r="C2" s="7"/>
      <c r="D2" s="15"/>
    </row>
    <row r="3" spans="1:4" x14ac:dyDescent="0.25">
      <c r="A3" s="1" t="s">
        <v>53</v>
      </c>
      <c r="B3" s="1">
        <f>SUBTOTAL(103,Contents[Retina ID])</f>
        <v>0</v>
      </c>
      <c r="C3" s="7"/>
      <c r="D3" s="1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2"/>
  <sheetViews>
    <sheetView workbookViewId="0">
      <selection activeCell="A7" sqref="A7"/>
    </sheetView>
  </sheetViews>
  <sheetFormatPr defaultRowHeight="15" x14ac:dyDescent="0.25"/>
  <cols>
    <col min="1" max="1" width="12.85546875" style="1" customWidth="1"/>
    <col min="2" max="2" width="11.28515625" style="1" bestFit="1" customWidth="1"/>
    <col min="3" max="3" width="9.28515625" style="1" bestFit="1" customWidth="1"/>
    <col min="4" max="11" width="9.140625" style="1"/>
    <col min="12" max="12" width="12.85546875" style="1" bestFit="1" customWidth="1"/>
    <col min="13" max="16384" width="9.140625" style="1"/>
  </cols>
  <sheetData>
    <row r="1" spans="1:15" x14ac:dyDescent="0.25">
      <c r="A1" s="8" t="s">
        <v>46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</row>
    <row r="2" spans="1:15" x14ac:dyDescent="0.25">
      <c r="A2" s="8" t="s">
        <v>47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x14ac:dyDescent="0.25">
      <c r="A3" s="8" t="s">
        <v>48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25">
      <c r="A4" s="8" t="s">
        <v>49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15" x14ac:dyDescent="0.25">
      <c r="A5" s="17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1:15" x14ac:dyDescent="0.25">
      <c r="A6" s="7" t="s">
        <v>42</v>
      </c>
      <c r="B6" s="7" t="s">
        <v>43</v>
      </c>
      <c r="C6" s="7" t="s">
        <v>26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5" x14ac:dyDescent="0.25"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5" x14ac:dyDescent="0.25"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 x14ac:dyDescent="0.25"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</row>
    <row r="10" spans="1:15" x14ac:dyDescent="0.25"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1:15" x14ac:dyDescent="0.25"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</row>
    <row r="12" spans="1:15" x14ac:dyDescent="0.25"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DeleteChk">
              <controlPr defaultSize="0" autoFill="0" autoLine="0" autoPict="0">
                <anchor moveWithCells="1">
                  <from>
                    <xdr:col>11</xdr:col>
                    <xdr:colOff>66675</xdr:colOff>
                    <xdr:row>3</xdr:row>
                    <xdr:rowOff>171450</xdr:rowOff>
                  </from>
                  <to>
                    <xdr:col>14</xdr:col>
                    <xdr:colOff>352425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/>
  </sheetViews>
  <sheetFormatPr defaultRowHeight="15" x14ac:dyDescent="0.25"/>
  <cols>
    <col min="1" max="1" width="11.7109375" bestFit="1" customWidth="1"/>
  </cols>
  <sheetData>
    <row r="1" spans="1:2" x14ac:dyDescent="0.25">
      <c r="A1" t="s">
        <v>33</v>
      </c>
      <c r="B1">
        <v>0.05</v>
      </c>
    </row>
    <row r="2" spans="1:2" x14ac:dyDescent="0.25">
      <c r="A2" t="s">
        <v>65</v>
      </c>
      <c r="B2">
        <v>2</v>
      </c>
    </row>
    <row r="3" spans="1:2" x14ac:dyDescent="0.25">
      <c r="A3" t="s">
        <v>66</v>
      </c>
      <c r="B3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0"/>
  <sheetViews>
    <sheetView zoomScaleNormal="100" workbookViewId="0"/>
  </sheetViews>
  <sheetFormatPr defaultRowHeight="15" x14ac:dyDescent="0.25"/>
  <cols>
    <col min="1" max="1" width="35.28515625" style="18" bestFit="1" customWidth="1"/>
    <col min="2" max="2" width="11.28515625" style="18" hidden="1" customWidth="1"/>
    <col min="3" max="3" width="14.42578125" style="18" hidden="1" customWidth="1"/>
    <col min="4" max="4" width="15" style="18" hidden="1" customWidth="1"/>
    <col min="5" max="5" width="15.5703125" style="18" hidden="1" customWidth="1"/>
    <col min="6" max="6" width="26.7109375" style="18" hidden="1" customWidth="1"/>
    <col min="7" max="7" width="27.28515625" style="18" hidden="1" customWidth="1"/>
    <col min="8" max="8" width="12.7109375" style="18" hidden="1" customWidth="1"/>
    <col min="9" max="10" width="13.42578125" style="18" hidden="1" customWidth="1"/>
    <col min="11" max="11" width="14" style="18" hidden="1" customWidth="1"/>
    <col min="12" max="12" width="16" style="18" hidden="1" customWidth="1"/>
    <col min="13" max="13" width="21" style="18" hidden="1" customWidth="1"/>
    <col min="14" max="14" width="14.140625" style="18" bestFit="1" customWidth="1"/>
    <col min="15" max="15" width="15.7109375" style="1" bestFit="1" customWidth="1"/>
    <col min="16" max="17" width="12" style="1" bestFit="1" customWidth="1"/>
    <col min="18" max="18" width="15.28515625" style="1" bestFit="1" customWidth="1"/>
    <col min="19" max="19" width="21.140625" style="1" bestFit="1" customWidth="1"/>
    <col min="20" max="21" width="9.140625" style="1" customWidth="1"/>
    <col min="22" max="22" width="15.7109375" style="1" bestFit="1" customWidth="1"/>
    <col min="23" max="24" width="12" style="18" bestFit="1" customWidth="1"/>
    <col min="25" max="25" width="15.28515625" style="18" bestFit="1" customWidth="1"/>
    <col min="26" max="26" width="21.140625" style="18" customWidth="1"/>
    <col min="27" max="28" width="9.140625" style="18"/>
    <col min="29" max="29" width="15.7109375" style="18" bestFit="1" customWidth="1"/>
    <col min="30" max="30" width="12" style="18" bestFit="1" customWidth="1"/>
    <col min="31" max="31" width="12" style="1" bestFit="1" customWidth="1"/>
    <col min="32" max="32" width="15.28515625" style="1" bestFit="1" customWidth="1"/>
    <col min="33" max="33" width="21.140625" style="1" customWidth="1"/>
    <col min="34" max="34" width="9.140625" style="1" customWidth="1"/>
    <col min="35" max="35" width="9.140625" style="18"/>
    <col min="36" max="36" width="15.7109375" style="18" bestFit="1" customWidth="1"/>
    <col min="37" max="38" width="12" style="18" bestFit="1" customWidth="1"/>
    <col min="39" max="39" width="15.28515625" style="18" bestFit="1" customWidth="1"/>
    <col min="40" max="40" width="21.140625" style="18" customWidth="1"/>
    <col min="41" max="42" width="9.140625" style="18"/>
    <col min="43" max="43" width="15.7109375" style="18" bestFit="1" customWidth="1"/>
    <col min="44" max="45" width="12" style="18" bestFit="1" customWidth="1"/>
    <col min="46" max="46" width="15.28515625" style="18" bestFit="1" customWidth="1"/>
    <col min="47" max="47" width="21.140625" style="18" customWidth="1"/>
    <col min="48" max="49" width="9.140625" style="18"/>
    <col min="50" max="50" width="15.7109375" style="18" bestFit="1" customWidth="1"/>
    <col min="51" max="52" width="12" style="18" bestFit="1" customWidth="1"/>
    <col min="53" max="53" width="15.28515625" style="18" bestFit="1" customWidth="1"/>
    <col min="54" max="54" width="21.140625" style="18" customWidth="1"/>
    <col min="55" max="16384" width="9.140625" style="18"/>
  </cols>
  <sheetData>
    <row r="1" spans="1:37" x14ac:dyDescent="0.25">
      <c r="A1" s="37" t="s">
        <v>63</v>
      </c>
    </row>
    <row r="2" spans="1:37" x14ac:dyDescent="0.25">
      <c r="A2" s="1">
        <v>32</v>
      </c>
    </row>
    <row r="3" spans="1:37" x14ac:dyDescent="0.25">
      <c r="A3" s="37" t="s">
        <v>64</v>
      </c>
    </row>
    <row r="4" spans="1:37" x14ac:dyDescent="0.25">
      <c r="A4" s="1">
        <v>7</v>
      </c>
    </row>
    <row r="5" spans="1:37" ht="15.75" thickBot="1" x14ac:dyDescent="0.3"/>
    <row r="6" spans="1:37" s="37" customFormat="1" ht="15.75" thickBot="1" x14ac:dyDescent="0.3">
      <c r="A6" s="2" t="s">
        <v>62</v>
      </c>
      <c r="B6" s="61" t="s">
        <v>51</v>
      </c>
      <c r="C6" s="38" t="s">
        <v>52</v>
      </c>
      <c r="D6" s="61" t="s">
        <v>54</v>
      </c>
      <c r="E6" s="39" t="s">
        <v>55</v>
      </c>
      <c r="F6" s="39" t="s">
        <v>56</v>
      </c>
      <c r="G6" s="38" t="s">
        <v>57</v>
      </c>
      <c r="H6" s="61" t="s">
        <v>58</v>
      </c>
      <c r="I6" s="39" t="s">
        <v>60</v>
      </c>
      <c r="J6" s="39" t="s">
        <v>59</v>
      </c>
      <c r="K6" s="39" t="s">
        <v>61</v>
      </c>
      <c r="L6" s="39" t="s">
        <v>39</v>
      </c>
      <c r="M6" s="38" t="s">
        <v>40</v>
      </c>
      <c r="N6" s="40" t="s">
        <v>22</v>
      </c>
      <c r="O6" s="41" t="s">
        <v>20</v>
      </c>
      <c r="P6" s="39" t="s">
        <v>41</v>
      </c>
      <c r="Q6" s="38" t="s">
        <v>50</v>
      </c>
      <c r="S6" s="3"/>
      <c r="T6" s="3"/>
      <c r="U6" s="3"/>
      <c r="V6" s="3"/>
      <c r="W6" s="3"/>
      <c r="X6" s="3"/>
      <c r="Y6" s="3"/>
      <c r="AH6" s="3"/>
      <c r="AI6" s="3"/>
      <c r="AJ6" s="3"/>
      <c r="AK6" s="3"/>
    </row>
    <row r="7" spans="1:37" x14ac:dyDescent="0.25">
      <c r="A7" s="42" t="str">
        <f t="shared" ref="A7:A22" ca="1" si="0">IF($Q7&lt;PValue,"*  ","")&amp;INDIRECT(ADDRESS($B7,$C7,4,1))</f>
        <v>Background Firing Rate</v>
      </c>
      <c r="B7" s="62">
        <f>ROW(O50)</f>
        <v>50</v>
      </c>
      <c r="C7" s="63">
        <f>COLUMN(O50)</f>
        <v>15</v>
      </c>
      <c r="D7" s="74" t="str">
        <f>ADDRESS($B7+2,$C7+1,4,1)&amp;":"&amp;ADDRESS($B7+2+Contents[[#Totals],[Retina ID]],$C7+1,4,1)</f>
        <v>P52:P52</v>
      </c>
      <c r="E7" s="45" t="str">
        <f>ADDRESS($B7+2,$C7+2,4,1)&amp;":"&amp;ADDRESS($B7+2+Contents[[#Totals],[Retina ID]],$C7+2,4,1)</f>
        <v>Q52:Q52</v>
      </c>
      <c r="F7" s="45" t="str">
        <f>ADDRESS($B7+2,$C7+3,4,1)&amp;":"&amp;ADDRESS($B7+2+Contents[[#Totals],[Retina ID]],$C7+3,4,1)</f>
        <v>R52:R52</v>
      </c>
      <c r="G7" s="75" t="str">
        <f>ADDRESS($B7+2,$C7+4,4,1)&amp;":"&amp;ADDRESS($B7+2+Contents[[#Totals],[Retina ID]],$C7+4,4,1)</f>
        <v>S52:S52</v>
      </c>
      <c r="H7" s="88" t="e">
        <f ca="1">AVERAGE(INDIRECT($D7))</f>
        <v>#DIV/0!</v>
      </c>
      <c r="I7" s="52" t="e">
        <f ca="1">AVERAGE(INDIRECT($E7))</f>
        <v>#DIV/0!</v>
      </c>
      <c r="J7" s="52" t="e">
        <f t="shared" ref="J7:J22" ca="1" si="1">sem(INDIRECT($D7))</f>
        <v>#VALUE!</v>
      </c>
      <c r="K7" s="52" t="e">
        <f t="shared" ref="K7:K22" ca="1" si="2">sem(INDIRECT($E7))</f>
        <v>#VALUE!</v>
      </c>
      <c r="L7" s="52" t="e">
        <f ca="1">AVERAGE(INDIRECT($G7))</f>
        <v>#DIV/0!</v>
      </c>
      <c r="M7" s="89" t="e">
        <f t="shared" ref="M7:M22" ca="1" si="3">sem(INDIRECT($G7))</f>
        <v>#VALUE!</v>
      </c>
      <c r="N7" s="43" t="str">
        <f ca="1">IFERROR(TEXT($H7,"0.000")&amp;" ± "&amp;TEXT($J7,"0.000"),"")</f>
        <v/>
      </c>
      <c r="O7" s="43" t="str">
        <f ca="1">IFERROR(TEXT($I7,"0.000")&amp;" ± "&amp;TEXT($K7,"0.000"),"")</f>
        <v/>
      </c>
      <c r="P7" s="43" t="str">
        <f t="shared" ref="P7:P22" ca="1" si="4">IFERROR(TEXT(100*$L7,"0.0")&amp;" ± "&amp;TEXT(100*$M7,"0.00"),"")</f>
        <v/>
      </c>
      <c r="Q7" s="44" t="str">
        <f t="shared" ref="Q7:Q22" ca="1" si="5">IFERROR(_xlfn.T.TEST(INDIRECT($D7),INDIRECT($E7),TTTails,TTType),"")</f>
        <v/>
      </c>
      <c r="W7" s="1"/>
      <c r="X7" s="1"/>
      <c r="Y7" s="1"/>
      <c r="AE7" s="18"/>
      <c r="AF7" s="18"/>
      <c r="AG7" s="18"/>
      <c r="AI7" s="1"/>
      <c r="AJ7" s="1"/>
      <c r="AK7" s="1"/>
    </row>
    <row r="8" spans="1:37" x14ac:dyDescent="0.25">
      <c r="A8" s="27" t="str">
        <f t="shared" ca="1" si="0"/>
        <v>Background Interspike Interval</v>
      </c>
      <c r="B8" s="64">
        <f>$B$7</f>
        <v>50</v>
      </c>
      <c r="C8" s="65">
        <f>$C7+PropertyCols</f>
        <v>22</v>
      </c>
      <c r="D8" s="76" t="str">
        <f>ADDRESS($B8+2,$C8+1,4,1)&amp;":"&amp;ADDRESS($B8+2+Contents[[#Totals],[Retina ID]],$C8+1,4,1)</f>
        <v>W52:W52</v>
      </c>
      <c r="E8" s="46" t="str">
        <f>ADDRESS($B8+2,$C8+2,4,1)&amp;":"&amp;ADDRESS($B8+2+Contents[[#Totals],[Retina ID]],$C8+2,4,1)</f>
        <v>X52:X52</v>
      </c>
      <c r="F8" s="46" t="str">
        <f>ADDRESS($B8+2,$C8+3,4,1)&amp;":"&amp;ADDRESS($B8+2+Contents[[#Totals],[Retina ID]],$C8+3,4,1)</f>
        <v>Y52:Y52</v>
      </c>
      <c r="G8" s="77" t="str">
        <f>ADDRESS($B8+2,$C8+4,4,1)&amp;":"&amp;ADDRESS($B8+2+Contents[[#Totals],[Retina ID]],$C8+4,4,1)</f>
        <v>Z52:Z52</v>
      </c>
      <c r="H8" s="90" t="e">
        <f t="shared" ref="H8:H22" ca="1" si="6">AVERAGE(INDIRECT($D8))</f>
        <v>#DIV/0!</v>
      </c>
      <c r="I8" s="55" t="e">
        <f t="shared" ref="I8:I22" ca="1" si="7">AVERAGE(INDIRECT($E8))</f>
        <v>#DIV/0!</v>
      </c>
      <c r="J8" s="55" t="e">
        <f t="shared" ca="1" si="1"/>
        <v>#VALUE!</v>
      </c>
      <c r="K8" s="55" t="e">
        <f t="shared" ca="1" si="2"/>
        <v>#VALUE!</v>
      </c>
      <c r="L8" s="55" t="e">
        <f t="shared" ref="L8:L22" ca="1" si="8">AVERAGE(INDIRECT($G8))</f>
        <v>#DIV/0!</v>
      </c>
      <c r="M8" s="91" t="e">
        <f t="shared" ca="1" si="3"/>
        <v>#VALUE!</v>
      </c>
      <c r="N8" s="25" t="str">
        <f t="shared" ref="N8:N22" ca="1" si="9">IFERROR(TEXT($H8,"0.000")&amp;" ± "&amp;TEXT($J8,"0.000"),"")</f>
        <v/>
      </c>
      <c r="O8" s="25" t="str">
        <f t="shared" ref="O8:O22" ca="1" si="10">IFERROR(TEXT($I8,"0.000")&amp;" ± "&amp;TEXT($K8,"0.000"),"")</f>
        <v/>
      </c>
      <c r="P8" s="25" t="str">
        <f t="shared" ca="1" si="4"/>
        <v/>
      </c>
      <c r="Q8" s="26" t="str">
        <f t="shared" ca="1" si="5"/>
        <v/>
      </c>
      <c r="W8" s="1"/>
      <c r="X8" s="1"/>
      <c r="Y8" s="1"/>
      <c r="AE8" s="18"/>
      <c r="AF8" s="18"/>
      <c r="AG8" s="18"/>
      <c r="AI8" s="1"/>
      <c r="AJ8" s="1"/>
      <c r="AK8" s="1"/>
    </row>
    <row r="9" spans="1:37" x14ac:dyDescent="0.25">
      <c r="A9" s="27" t="str">
        <f t="shared" ca="1" si="0"/>
        <v>Percent of Spikes Occurring in Bursts</v>
      </c>
      <c r="B9" s="64">
        <f t="shared" ref="B9:B12" si="11">$B$7</f>
        <v>50</v>
      </c>
      <c r="C9" s="65">
        <f>$C8+PropertyCols</f>
        <v>29</v>
      </c>
      <c r="D9" s="76" t="str">
        <f>ADDRESS($B9+2,$C9+1,4,1)&amp;":"&amp;ADDRESS($B9+2+Contents[[#Totals],[Retina ID]],$C9+1,4,1)</f>
        <v>AD52:AD52</v>
      </c>
      <c r="E9" s="46" t="str">
        <f>ADDRESS($B9+2,$C9+2,4,1)&amp;":"&amp;ADDRESS($B9+2+Contents[[#Totals],[Retina ID]],$C9+2,4,1)</f>
        <v>AE52:AE52</v>
      </c>
      <c r="F9" s="46" t="str">
        <f>ADDRESS($B9+2,$C9+3,4,1)&amp;":"&amp;ADDRESS($B9+2+Contents[[#Totals],[Retina ID]],$C9+3,4,1)</f>
        <v>AF52:AF52</v>
      </c>
      <c r="G9" s="77" t="str">
        <f>ADDRESS($B9+2,$C9+4,4,1)&amp;":"&amp;ADDRESS($B9+2+Contents[[#Totals],[Retina ID]],$C9+4,4,1)</f>
        <v>AG52:AG52</v>
      </c>
      <c r="H9" s="90" t="e">
        <f t="shared" ca="1" si="6"/>
        <v>#DIV/0!</v>
      </c>
      <c r="I9" s="55" t="e">
        <f t="shared" ca="1" si="7"/>
        <v>#DIV/0!</v>
      </c>
      <c r="J9" s="55" t="e">
        <f t="shared" ca="1" si="1"/>
        <v>#VALUE!</v>
      </c>
      <c r="K9" s="55" t="e">
        <f t="shared" ca="1" si="2"/>
        <v>#VALUE!</v>
      </c>
      <c r="L9" s="55" t="e">
        <f t="shared" ca="1" si="8"/>
        <v>#DIV/0!</v>
      </c>
      <c r="M9" s="91" t="e">
        <f t="shared" ca="1" si="3"/>
        <v>#VALUE!</v>
      </c>
      <c r="N9" s="25" t="str">
        <f t="shared" ca="1" si="9"/>
        <v/>
      </c>
      <c r="O9" s="25" t="str">
        <f t="shared" ca="1" si="10"/>
        <v/>
      </c>
      <c r="P9" s="25" t="str">
        <f t="shared" ca="1" si="4"/>
        <v/>
      </c>
      <c r="Q9" s="26" t="str">
        <f t="shared" ca="1" si="5"/>
        <v/>
      </c>
      <c r="W9" s="1"/>
      <c r="X9" s="1"/>
      <c r="Y9" s="1"/>
      <c r="AE9" s="18"/>
      <c r="AF9" s="18"/>
      <c r="AG9" s="18"/>
      <c r="AI9" s="1"/>
      <c r="AJ9" s="1"/>
      <c r="AK9" s="1"/>
    </row>
    <row r="10" spans="1:37" x14ac:dyDescent="0.25">
      <c r="A10" s="27" t="str">
        <f t="shared" ca="1" si="0"/>
        <v>Burst Frequency</v>
      </c>
      <c r="B10" s="64">
        <f t="shared" si="11"/>
        <v>50</v>
      </c>
      <c r="C10" s="65">
        <f>$C9+PropertyCols</f>
        <v>36</v>
      </c>
      <c r="D10" s="76" t="str">
        <f>ADDRESS($B10+2,$C10+1,4,1)&amp;":"&amp;ADDRESS($B10+2+Contents[[#Totals],[Retina ID]],$C10+1,4,1)</f>
        <v>AK52:AK52</v>
      </c>
      <c r="E10" s="46" t="str">
        <f>ADDRESS($B10+2,$C10+2,4,1)&amp;":"&amp;ADDRESS($B10+2+Contents[[#Totals],[Retina ID]],$C10+2,4,1)</f>
        <v>AL52:AL52</v>
      </c>
      <c r="F10" s="46" t="str">
        <f>ADDRESS($B10+2,$C10+3,4,1)&amp;":"&amp;ADDRESS($B10+2+Contents[[#Totals],[Retina ID]],$C10+3,4,1)</f>
        <v>AM52:AM52</v>
      </c>
      <c r="G10" s="77" t="str">
        <f>ADDRESS($B10+2,$C10+4,4,1)&amp;":"&amp;ADDRESS($B10+2+Contents[[#Totals],[Retina ID]],$C10+4,4,1)</f>
        <v>AN52:AN52</v>
      </c>
      <c r="H10" s="90" t="e">
        <f t="shared" ca="1" si="6"/>
        <v>#DIV/0!</v>
      </c>
      <c r="I10" s="55" t="e">
        <f t="shared" ca="1" si="7"/>
        <v>#DIV/0!</v>
      </c>
      <c r="J10" s="55" t="e">
        <f t="shared" ca="1" si="1"/>
        <v>#VALUE!</v>
      </c>
      <c r="K10" s="55" t="e">
        <f t="shared" ca="1" si="2"/>
        <v>#VALUE!</v>
      </c>
      <c r="L10" s="55" t="e">
        <f t="shared" ca="1" si="8"/>
        <v>#DIV/0!</v>
      </c>
      <c r="M10" s="91" t="e">
        <f t="shared" ca="1" si="3"/>
        <v>#VALUE!</v>
      </c>
      <c r="N10" s="25" t="str">
        <f t="shared" ca="1" si="9"/>
        <v/>
      </c>
      <c r="O10" s="25" t="str">
        <f t="shared" ca="1" si="10"/>
        <v/>
      </c>
      <c r="P10" s="25" t="str">
        <f t="shared" ca="1" si="4"/>
        <v/>
      </c>
      <c r="Q10" s="26" t="str">
        <f t="shared" ca="1" si="5"/>
        <v/>
      </c>
      <c r="W10" s="1"/>
      <c r="X10" s="1"/>
      <c r="Y10" s="1"/>
      <c r="AE10" s="18"/>
      <c r="AF10" s="18"/>
      <c r="AG10" s="18"/>
      <c r="AI10" s="1"/>
      <c r="AJ10" s="1"/>
      <c r="AK10" s="1"/>
    </row>
    <row r="11" spans="1:37" x14ac:dyDescent="0.25">
      <c r="A11" s="27" t="str">
        <f t="shared" ca="1" si="0"/>
        <v>Background Firing Rate</v>
      </c>
      <c r="B11" s="64">
        <f t="shared" si="11"/>
        <v>50</v>
      </c>
      <c r="C11" s="65">
        <f>$C10+PropertyCols</f>
        <v>43</v>
      </c>
      <c r="D11" s="76" t="str">
        <f>ADDRESS($B11+2,$C11+1,4,1)&amp;":"&amp;ADDRESS($B11+2+Contents[[#Totals],[Retina ID]],$C11+1,4,1)</f>
        <v>AR52:AR52</v>
      </c>
      <c r="E11" s="46" t="str">
        <f>ADDRESS($B11+2,$C11+2,4,1)&amp;":"&amp;ADDRESS($B11+2+Contents[[#Totals],[Retina ID]],$C11+2,4,1)</f>
        <v>AS52:AS52</v>
      </c>
      <c r="F11" s="46" t="str">
        <f>ADDRESS($B11+2,$C11+3,4,1)&amp;":"&amp;ADDRESS($B11+2+Contents[[#Totals],[Retina ID]],$C11+3,4,1)</f>
        <v>AT52:AT52</v>
      </c>
      <c r="G11" s="77" t="str">
        <f>ADDRESS($B11+2,$C11+4,4,1)&amp;":"&amp;ADDRESS($B11+2+Contents[[#Totals],[Retina ID]],$C11+4,4,1)</f>
        <v>AU52:AU52</v>
      </c>
      <c r="H11" s="90" t="e">
        <f t="shared" ca="1" si="6"/>
        <v>#DIV/0!</v>
      </c>
      <c r="I11" s="55" t="e">
        <f t="shared" ca="1" si="7"/>
        <v>#DIV/0!</v>
      </c>
      <c r="J11" s="55" t="e">
        <f t="shared" ca="1" si="1"/>
        <v>#VALUE!</v>
      </c>
      <c r="K11" s="55" t="e">
        <f t="shared" ca="1" si="2"/>
        <v>#VALUE!</v>
      </c>
      <c r="L11" s="55" t="e">
        <f t="shared" ca="1" si="8"/>
        <v>#DIV/0!</v>
      </c>
      <c r="M11" s="91" t="e">
        <f t="shared" ca="1" si="3"/>
        <v>#VALUE!</v>
      </c>
      <c r="N11" s="25" t="str">
        <f t="shared" ca="1" si="9"/>
        <v/>
      </c>
      <c r="O11" s="25" t="str">
        <f t="shared" ca="1" si="10"/>
        <v/>
      </c>
      <c r="P11" s="25" t="str">
        <f t="shared" ca="1" si="4"/>
        <v/>
      </c>
      <c r="Q11" s="26" t="str">
        <f t="shared" ca="1" si="5"/>
        <v/>
      </c>
      <c r="W11" s="1"/>
      <c r="X11" s="1"/>
      <c r="Y11" s="1"/>
      <c r="AE11" s="18"/>
      <c r="AF11" s="18"/>
      <c r="AG11" s="18"/>
      <c r="AI11" s="1"/>
      <c r="AJ11" s="1"/>
      <c r="AK11" s="1"/>
    </row>
    <row r="12" spans="1:37" x14ac:dyDescent="0.25">
      <c r="A12" s="31" t="str">
        <f t="shared" ca="1" si="0"/>
        <v>Percent of Bursts Occurring In Waves</v>
      </c>
      <c r="B12" s="53">
        <f t="shared" si="11"/>
        <v>50</v>
      </c>
      <c r="C12" s="66">
        <f>$C11+PropertyCols</f>
        <v>50</v>
      </c>
      <c r="D12" s="78" t="str">
        <f>ADDRESS($B12+2,$C12+1,4,1)&amp;":"&amp;ADDRESS($B12+2+Contents[[#Totals],[Retina ID]],$C12+1,4,1)</f>
        <v>AY52:AY52</v>
      </c>
      <c r="E12" s="47" t="str">
        <f>ADDRESS($B12+2,$C12+2,4,1)&amp;":"&amp;ADDRESS($B12+2+Contents[[#Totals],[Retina ID]],$C12+2,4,1)</f>
        <v>AZ52:AZ52</v>
      </c>
      <c r="F12" s="47" t="str">
        <f>ADDRESS($B12+2,$C12+3,4,1)&amp;":"&amp;ADDRESS($B12+2+Contents[[#Totals],[Retina ID]],$C12+3,4,1)</f>
        <v>BA52:BA52</v>
      </c>
      <c r="G12" s="79" t="str">
        <f>ADDRESS($B12+2,$C12+4,4,1)&amp;":"&amp;ADDRESS($B12+2+Contents[[#Totals],[Retina ID]],$C12+4,4,1)</f>
        <v>BB52:BB52</v>
      </c>
      <c r="H12" s="92" t="e">
        <f t="shared" ca="1" si="6"/>
        <v>#DIV/0!</v>
      </c>
      <c r="I12" s="56" t="e">
        <f t="shared" ca="1" si="7"/>
        <v>#DIV/0!</v>
      </c>
      <c r="J12" s="56" t="e">
        <f t="shared" ca="1" si="1"/>
        <v>#VALUE!</v>
      </c>
      <c r="K12" s="56" t="e">
        <f t="shared" ca="1" si="2"/>
        <v>#VALUE!</v>
      </c>
      <c r="L12" s="56" t="e">
        <f t="shared" ca="1" si="8"/>
        <v>#DIV/0!</v>
      </c>
      <c r="M12" s="93" t="e">
        <f t="shared" ca="1" si="3"/>
        <v>#VALUE!</v>
      </c>
      <c r="N12" s="32" t="str">
        <f t="shared" ca="1" si="9"/>
        <v/>
      </c>
      <c r="O12" s="32" t="str">
        <f t="shared" ca="1" si="10"/>
        <v/>
      </c>
      <c r="P12" s="32" t="str">
        <f t="shared" ca="1" si="4"/>
        <v/>
      </c>
      <c r="Q12" s="33" t="str">
        <f t="shared" ca="1" si="5"/>
        <v/>
      </c>
      <c r="W12" s="1"/>
      <c r="X12" s="1"/>
      <c r="Y12" s="1"/>
      <c r="AE12" s="18"/>
      <c r="AF12" s="18"/>
      <c r="AG12" s="18"/>
      <c r="AI12" s="1"/>
      <c r="AJ12" s="1"/>
      <c r="AK12" s="1"/>
    </row>
    <row r="13" spans="1:37" x14ac:dyDescent="0.25">
      <c r="A13" s="28" t="str">
        <f t="shared" ca="1" si="0"/>
        <v>Background Firing Rate</v>
      </c>
      <c r="B13" s="67">
        <f>$B$7+PropertyRows</f>
        <v>82</v>
      </c>
      <c r="C13" s="68">
        <f>$C$7</f>
        <v>15</v>
      </c>
      <c r="D13" s="80" t="str">
        <f>ADDRESS($B13+2,$C13+1,4,1)&amp;":"&amp;ADDRESS($B13+2+Contents[[#Totals],[Retina ID]],$C13+1,4,1)</f>
        <v>P84:P84</v>
      </c>
      <c r="E13" s="48" t="str">
        <f>ADDRESS($B13+2,$C13+2,4,1)&amp;":"&amp;ADDRESS($B13+2+Contents[[#Totals],[Retina ID]],$C13+2,4,1)</f>
        <v>Q84:Q84</v>
      </c>
      <c r="F13" s="48" t="str">
        <f>ADDRESS($B13+2,$C13+3,4,1)&amp;":"&amp;ADDRESS($B13+2+Contents[[#Totals],[Retina ID]],$C13+3,4,1)</f>
        <v>R84:R84</v>
      </c>
      <c r="G13" s="81" t="str">
        <f>ADDRESS($B13+2,$C13+4,4,1)&amp;":"&amp;ADDRESS($B13+2+Contents[[#Totals],[Retina ID]],$C13+4,4,1)</f>
        <v>S84:S84</v>
      </c>
      <c r="H13" s="94" t="e">
        <f t="shared" ca="1" si="6"/>
        <v>#DIV/0!</v>
      </c>
      <c r="I13" s="57" t="e">
        <f t="shared" ca="1" si="7"/>
        <v>#DIV/0!</v>
      </c>
      <c r="J13" s="57" t="e">
        <f t="shared" ca="1" si="1"/>
        <v>#VALUE!</v>
      </c>
      <c r="K13" s="57" t="e">
        <f t="shared" ca="1" si="2"/>
        <v>#VALUE!</v>
      </c>
      <c r="L13" s="57" t="e">
        <f t="shared" ca="1" si="8"/>
        <v>#DIV/0!</v>
      </c>
      <c r="M13" s="95" t="e">
        <f t="shared" ca="1" si="3"/>
        <v>#VALUE!</v>
      </c>
      <c r="N13" s="19" t="str">
        <f t="shared" ca="1" si="9"/>
        <v/>
      </c>
      <c r="O13" s="19" t="str">
        <f t="shared" ca="1" si="10"/>
        <v/>
      </c>
      <c r="P13" s="19" t="str">
        <f t="shared" ca="1" si="4"/>
        <v/>
      </c>
      <c r="Q13" s="20" t="str">
        <f t="shared" ca="1" si="5"/>
        <v/>
      </c>
      <c r="W13" s="1"/>
      <c r="X13" s="1"/>
      <c r="Y13" s="1"/>
      <c r="AE13" s="18"/>
      <c r="AF13" s="18"/>
      <c r="AG13" s="18"/>
      <c r="AI13" s="1"/>
      <c r="AJ13" s="1"/>
      <c r="AK13" s="1"/>
    </row>
    <row r="14" spans="1:37" x14ac:dyDescent="0.25">
      <c r="A14" s="28" t="str">
        <f t="shared" ca="1" si="0"/>
        <v>Wave-Burst Firing Rate</v>
      </c>
      <c r="B14" s="67">
        <f>$B$13</f>
        <v>82</v>
      </c>
      <c r="C14" s="68">
        <f>$C13+PropertyCols</f>
        <v>22</v>
      </c>
      <c r="D14" s="80" t="str">
        <f>ADDRESS($B14+2,$C14+1,4,1)&amp;":"&amp;ADDRESS($B14+2+Contents[[#Totals],[Retina ID]],$C14+1,4,1)</f>
        <v>W84:W84</v>
      </c>
      <c r="E14" s="48" t="str">
        <f>ADDRESS($B14+2,$C14+2,4,1)&amp;":"&amp;ADDRESS($B14+2+Contents[[#Totals],[Retina ID]],$C14+2,4,1)</f>
        <v>X84:X84</v>
      </c>
      <c r="F14" s="48" t="str">
        <f>ADDRESS($B14+2,$C14+3,4,1)&amp;":"&amp;ADDRESS($B14+2+Contents[[#Totals],[Retina ID]],$C14+3,4,1)</f>
        <v>Y84:Y84</v>
      </c>
      <c r="G14" s="81" t="str">
        <f>ADDRESS($B14+2,$C14+4,4,1)&amp;":"&amp;ADDRESS($B14+2+Contents[[#Totals],[Retina ID]],$C14+4,4,1)</f>
        <v>Z84:Z84</v>
      </c>
      <c r="H14" s="94" t="e">
        <f t="shared" ca="1" si="6"/>
        <v>#DIV/0!</v>
      </c>
      <c r="I14" s="57" t="e">
        <f t="shared" ca="1" si="7"/>
        <v>#DIV/0!</v>
      </c>
      <c r="J14" s="57" t="e">
        <f t="shared" ca="1" si="1"/>
        <v>#VALUE!</v>
      </c>
      <c r="K14" s="57" t="e">
        <f t="shared" ca="1" si="2"/>
        <v>#VALUE!</v>
      </c>
      <c r="L14" s="57" t="e">
        <f t="shared" ca="1" si="8"/>
        <v>#DIV/0!</v>
      </c>
      <c r="M14" s="95" t="e">
        <f t="shared" ca="1" si="3"/>
        <v>#VALUE!</v>
      </c>
      <c r="N14" s="19" t="str">
        <f t="shared" ca="1" si="9"/>
        <v/>
      </c>
      <c r="O14" s="19" t="str">
        <f t="shared" ca="1" si="10"/>
        <v/>
      </c>
      <c r="P14" s="19" t="str">
        <f t="shared" ca="1" si="4"/>
        <v/>
      </c>
      <c r="Q14" s="20" t="str">
        <f t="shared" ca="1" si="5"/>
        <v/>
      </c>
      <c r="W14" s="1"/>
      <c r="X14" s="1"/>
      <c r="Y14" s="1"/>
      <c r="AE14" s="18"/>
      <c r="AF14" s="18"/>
      <c r="AG14" s="18"/>
      <c r="AI14" s="1"/>
      <c r="AJ14" s="1"/>
      <c r="AK14" s="1"/>
    </row>
    <row r="15" spans="1:37" x14ac:dyDescent="0.25">
      <c r="A15" s="28" t="str">
        <f t="shared" ca="1" si="0"/>
        <v>Wave-Burst Interspike Interval</v>
      </c>
      <c r="B15" s="67">
        <f t="shared" ref="B15:B17" si="12">$B$13</f>
        <v>82</v>
      </c>
      <c r="C15" s="68">
        <f>$C14+PropertyCols</f>
        <v>29</v>
      </c>
      <c r="D15" s="80" t="str">
        <f>ADDRESS($B15+2,$C15+1,4,1)&amp;":"&amp;ADDRESS($B15+2+Contents[[#Totals],[Retina ID]],$C15+1,4,1)</f>
        <v>AD84:AD84</v>
      </c>
      <c r="E15" s="48" t="str">
        <f>ADDRESS($B15+2,$C15+2,4,1)&amp;":"&amp;ADDRESS($B15+2+Contents[[#Totals],[Retina ID]],$C15+2,4,1)</f>
        <v>AE84:AE84</v>
      </c>
      <c r="F15" s="48" t="str">
        <f>ADDRESS($B15+2,$C15+3,4,1)&amp;":"&amp;ADDRESS($B15+2+Contents[[#Totals],[Retina ID]],$C15+3,4,1)</f>
        <v>AF84:AF84</v>
      </c>
      <c r="G15" s="81" t="str">
        <f>ADDRESS($B15+2,$C15+4,4,1)&amp;":"&amp;ADDRESS($B15+2+Contents[[#Totals],[Retina ID]],$C15+4,4,1)</f>
        <v>AG84:AG84</v>
      </c>
      <c r="H15" s="94" t="e">
        <f t="shared" ca="1" si="6"/>
        <v>#DIV/0!</v>
      </c>
      <c r="I15" s="57" t="e">
        <f t="shared" ca="1" si="7"/>
        <v>#DIV/0!</v>
      </c>
      <c r="J15" s="57" t="e">
        <f t="shared" ca="1" si="1"/>
        <v>#VALUE!</v>
      </c>
      <c r="K15" s="57" t="e">
        <f t="shared" ca="1" si="2"/>
        <v>#VALUE!</v>
      </c>
      <c r="L15" s="57" t="e">
        <f t="shared" ca="1" si="8"/>
        <v>#DIV/0!</v>
      </c>
      <c r="M15" s="95" t="e">
        <f t="shared" ca="1" si="3"/>
        <v>#VALUE!</v>
      </c>
      <c r="N15" s="19" t="str">
        <f t="shared" ca="1" si="9"/>
        <v/>
      </c>
      <c r="O15" s="19" t="str">
        <f t="shared" ca="1" si="10"/>
        <v/>
      </c>
      <c r="P15" s="19" t="str">
        <f t="shared" ca="1" si="4"/>
        <v/>
      </c>
      <c r="Q15" s="20" t="str">
        <f t="shared" ca="1" si="5"/>
        <v/>
      </c>
      <c r="W15" s="1"/>
      <c r="X15" s="1"/>
      <c r="Y15" s="1"/>
      <c r="AE15" s="18"/>
      <c r="AF15" s="18"/>
      <c r="AG15" s="18"/>
      <c r="AI15" s="1"/>
      <c r="AJ15" s="1"/>
      <c r="AK15" s="1"/>
    </row>
    <row r="16" spans="1:37" x14ac:dyDescent="0.25">
      <c r="A16" s="28" t="str">
        <f t="shared" ca="1" si="0"/>
        <v>Percent Wave-Burst Time &gt;10 Hz</v>
      </c>
      <c r="B16" s="67">
        <f t="shared" si="12"/>
        <v>82</v>
      </c>
      <c r="C16" s="68">
        <f>$C15+PropertyCols</f>
        <v>36</v>
      </c>
      <c r="D16" s="80" t="str">
        <f>ADDRESS($B16+2,$C16+1,4,1)&amp;":"&amp;ADDRESS($B16+2+Contents[[#Totals],[Retina ID]],$C16+1,4,1)</f>
        <v>AK84:AK84</v>
      </c>
      <c r="E16" s="48" t="str">
        <f>ADDRESS($B16+2,$C16+2,4,1)&amp;":"&amp;ADDRESS($B16+2+Contents[[#Totals],[Retina ID]],$C16+2,4,1)</f>
        <v>AL84:AL84</v>
      </c>
      <c r="F16" s="48" t="str">
        <f>ADDRESS($B16+2,$C16+3,4,1)&amp;":"&amp;ADDRESS($B16+2+Contents[[#Totals],[Retina ID]],$C16+3,4,1)</f>
        <v>AM84:AM84</v>
      </c>
      <c r="G16" s="81" t="str">
        <f>ADDRESS($B16+2,$C16+4,4,1)&amp;":"&amp;ADDRESS($B16+2+Contents[[#Totals],[Retina ID]],$C16+4,4,1)</f>
        <v>AN84:AN84</v>
      </c>
      <c r="H16" s="94" t="e">
        <f t="shared" ca="1" si="6"/>
        <v>#DIV/0!</v>
      </c>
      <c r="I16" s="57" t="e">
        <f t="shared" ca="1" si="7"/>
        <v>#DIV/0!</v>
      </c>
      <c r="J16" s="57" t="e">
        <f t="shared" ca="1" si="1"/>
        <v>#VALUE!</v>
      </c>
      <c r="K16" s="57" t="e">
        <f t="shared" ca="1" si="2"/>
        <v>#VALUE!</v>
      </c>
      <c r="L16" s="57" t="e">
        <f t="shared" ca="1" si="8"/>
        <v>#DIV/0!</v>
      </c>
      <c r="M16" s="95" t="e">
        <f t="shared" ca="1" si="3"/>
        <v>#VALUE!</v>
      </c>
      <c r="N16" s="19" t="str">
        <f t="shared" ca="1" si="9"/>
        <v/>
      </c>
      <c r="O16" s="19" t="str">
        <f t="shared" ca="1" si="10"/>
        <v/>
      </c>
      <c r="P16" s="19" t="str">
        <f t="shared" ca="1" si="4"/>
        <v/>
      </c>
      <c r="Q16" s="20" t="str">
        <f t="shared" ca="1" si="5"/>
        <v/>
      </c>
      <c r="W16" s="1"/>
      <c r="X16" s="1"/>
      <c r="Y16" s="1"/>
      <c r="AE16" s="18"/>
      <c r="AF16" s="18"/>
      <c r="AG16" s="18"/>
      <c r="AI16" s="1"/>
      <c r="AJ16" s="1"/>
      <c r="AK16" s="1"/>
    </row>
    <row r="17" spans="1:37" x14ac:dyDescent="0.25">
      <c r="A17" s="34" t="str">
        <f t="shared" ca="1" si="0"/>
        <v>Spikes Per Wave-Burst</v>
      </c>
      <c r="B17" s="54">
        <f t="shared" si="12"/>
        <v>82</v>
      </c>
      <c r="C17" s="69">
        <f>$C16+PropertyCols</f>
        <v>43</v>
      </c>
      <c r="D17" s="82" t="str">
        <f>ADDRESS($B17+2,$C17+1,4,1)&amp;":"&amp;ADDRESS($B17+2+Contents[[#Totals],[Retina ID]],$C17+1,4,1)</f>
        <v>AR84:AR84</v>
      </c>
      <c r="E17" s="49" t="str">
        <f>ADDRESS($B17+2,$C17+2,4,1)&amp;":"&amp;ADDRESS($B17+2+Contents[[#Totals],[Retina ID]],$C17+2,4,1)</f>
        <v>AS84:AS84</v>
      </c>
      <c r="F17" s="49" t="str">
        <f>ADDRESS($B17+2,$C17+3,4,1)&amp;":"&amp;ADDRESS($B17+2+Contents[[#Totals],[Retina ID]],$C17+3,4,1)</f>
        <v>AT84:AT84</v>
      </c>
      <c r="G17" s="83" t="str">
        <f>ADDRESS($B17+2,$C17+4,4,1)&amp;":"&amp;ADDRESS($B17+2+Contents[[#Totals],[Retina ID]],$C17+4,4,1)</f>
        <v>AU84:AU84</v>
      </c>
      <c r="H17" s="96" t="e">
        <f t="shared" ca="1" si="6"/>
        <v>#DIV/0!</v>
      </c>
      <c r="I17" s="58" t="e">
        <f t="shared" ca="1" si="7"/>
        <v>#DIV/0!</v>
      </c>
      <c r="J17" s="58" t="e">
        <f t="shared" ca="1" si="1"/>
        <v>#VALUE!</v>
      </c>
      <c r="K17" s="58" t="e">
        <f t="shared" ca="1" si="2"/>
        <v>#VALUE!</v>
      </c>
      <c r="L17" s="58" t="e">
        <f t="shared" ca="1" si="8"/>
        <v>#DIV/0!</v>
      </c>
      <c r="M17" s="97" t="e">
        <f t="shared" ca="1" si="3"/>
        <v>#VALUE!</v>
      </c>
      <c r="N17" s="35" t="str">
        <f t="shared" ca="1" si="9"/>
        <v/>
      </c>
      <c r="O17" s="35" t="str">
        <f t="shared" ca="1" si="10"/>
        <v/>
      </c>
      <c r="P17" s="35" t="str">
        <f t="shared" ca="1" si="4"/>
        <v/>
      </c>
      <c r="Q17" s="36" t="str">
        <f t="shared" ca="1" si="5"/>
        <v/>
      </c>
      <c r="W17" s="1"/>
      <c r="X17" s="1"/>
      <c r="Y17" s="1"/>
      <c r="AE17" s="18"/>
      <c r="AF17" s="18"/>
      <c r="AG17" s="18"/>
      <c r="AI17" s="1"/>
      <c r="AJ17" s="1"/>
      <c r="AK17" s="1"/>
    </row>
    <row r="18" spans="1:37" x14ac:dyDescent="0.25">
      <c r="A18" s="29" t="str">
        <f t="shared" ca="1" si="0"/>
        <v>Non-Wave-Burst Duration</v>
      </c>
      <c r="B18" s="70">
        <f>$B$13+PropertyRows</f>
        <v>114</v>
      </c>
      <c r="C18" s="71">
        <f>$C$7</f>
        <v>15</v>
      </c>
      <c r="D18" s="84" t="str">
        <f>ADDRESS($B18+2,$C18+1,4,1)&amp;":"&amp;ADDRESS($B18+2+Contents[[#Totals],[Retina ID]],$C18+1,4,1)</f>
        <v>P116:P116</v>
      </c>
      <c r="E18" s="50" t="str">
        <f>ADDRESS($B18+2,$C18+2,4,1)&amp;":"&amp;ADDRESS($B18+2+Contents[[#Totals],[Retina ID]],$C18+2,4,1)</f>
        <v>Q116:Q116</v>
      </c>
      <c r="F18" s="50" t="str">
        <f>ADDRESS($B18+2,$C18+3,4,1)&amp;":"&amp;ADDRESS($B18+2+Contents[[#Totals],[Retina ID]],$C18+3,4,1)</f>
        <v>R116:R116</v>
      </c>
      <c r="G18" s="85" t="str">
        <f>ADDRESS($B18+2,$C18+4,4,1)&amp;":"&amp;ADDRESS($B18+2+Contents[[#Totals],[Retina ID]],$C18+4,4,1)</f>
        <v>S116:S116</v>
      </c>
      <c r="H18" s="98" t="e">
        <f t="shared" ca="1" si="6"/>
        <v>#DIV/0!</v>
      </c>
      <c r="I18" s="59" t="e">
        <f t="shared" ca="1" si="7"/>
        <v>#DIV/0!</v>
      </c>
      <c r="J18" s="59" t="e">
        <f t="shared" ca="1" si="1"/>
        <v>#VALUE!</v>
      </c>
      <c r="K18" s="59" t="e">
        <f t="shared" ca="1" si="2"/>
        <v>#VALUE!</v>
      </c>
      <c r="L18" s="59" t="e">
        <f t="shared" ca="1" si="8"/>
        <v>#DIV/0!</v>
      </c>
      <c r="M18" s="99" t="e">
        <f t="shared" ca="1" si="3"/>
        <v>#VALUE!</v>
      </c>
      <c r="N18" s="21" t="str">
        <f t="shared" ca="1" si="9"/>
        <v/>
      </c>
      <c r="O18" s="21" t="str">
        <f t="shared" ca="1" si="10"/>
        <v/>
      </c>
      <c r="P18" s="21" t="str">
        <f t="shared" ca="1" si="4"/>
        <v/>
      </c>
      <c r="Q18" s="22" t="str">
        <f t="shared" ca="1" si="5"/>
        <v/>
      </c>
      <c r="W18" s="1"/>
      <c r="X18" s="1"/>
      <c r="Y18" s="1"/>
      <c r="AE18" s="18"/>
      <c r="AF18" s="18"/>
      <c r="AG18" s="18"/>
      <c r="AI18" s="1"/>
      <c r="AJ18" s="1"/>
      <c r="AK18" s="1"/>
    </row>
    <row r="19" spans="1:37" x14ac:dyDescent="0.25">
      <c r="A19" s="29" t="str">
        <f t="shared" ca="1" si="0"/>
        <v>Non-Wave-Burst Firing Rate</v>
      </c>
      <c r="B19" s="70">
        <f>$B$18</f>
        <v>114</v>
      </c>
      <c r="C19" s="71">
        <f>$C18+PropertyCols</f>
        <v>22</v>
      </c>
      <c r="D19" s="84" t="str">
        <f>ADDRESS($B19+2,$C19+1,4,1)&amp;":"&amp;ADDRESS($B19+2+Contents[[#Totals],[Retina ID]],$C19+1,4,1)</f>
        <v>W116:W116</v>
      </c>
      <c r="E19" s="50" t="str">
        <f>ADDRESS($B19+2,$C19+2,4,1)&amp;":"&amp;ADDRESS($B19+2+Contents[[#Totals],[Retina ID]],$C19+2,4,1)</f>
        <v>X116:X116</v>
      </c>
      <c r="F19" s="50" t="str">
        <f>ADDRESS($B19+2,$C19+3,4,1)&amp;":"&amp;ADDRESS($B19+2+Contents[[#Totals],[Retina ID]],$C19+3,4,1)</f>
        <v>Y116:Y116</v>
      </c>
      <c r="G19" s="85" t="str">
        <f>ADDRESS($B19+2,$C19+4,4,1)&amp;":"&amp;ADDRESS($B19+2+Contents[[#Totals],[Retina ID]],$C19+4,4,1)</f>
        <v>Z116:Z116</v>
      </c>
      <c r="H19" s="98" t="e">
        <f t="shared" ca="1" si="6"/>
        <v>#DIV/0!</v>
      </c>
      <c r="I19" s="59" t="e">
        <f t="shared" ca="1" si="7"/>
        <v>#DIV/0!</v>
      </c>
      <c r="J19" s="59" t="e">
        <f t="shared" ca="1" si="1"/>
        <v>#VALUE!</v>
      </c>
      <c r="K19" s="59" t="e">
        <f t="shared" ca="1" si="2"/>
        <v>#VALUE!</v>
      </c>
      <c r="L19" s="59" t="e">
        <f t="shared" ca="1" si="8"/>
        <v>#DIV/0!</v>
      </c>
      <c r="M19" s="99" t="e">
        <f t="shared" ca="1" si="3"/>
        <v>#VALUE!</v>
      </c>
      <c r="N19" s="21" t="str">
        <f t="shared" ca="1" si="9"/>
        <v/>
      </c>
      <c r="O19" s="21" t="str">
        <f t="shared" ca="1" si="10"/>
        <v/>
      </c>
      <c r="P19" s="21" t="str">
        <f t="shared" ca="1" si="4"/>
        <v/>
      </c>
      <c r="Q19" s="22" t="str">
        <f t="shared" ca="1" si="5"/>
        <v/>
      </c>
      <c r="W19" s="1"/>
      <c r="X19" s="1"/>
      <c r="Y19" s="1"/>
      <c r="AE19" s="18"/>
      <c r="AF19" s="18"/>
      <c r="AG19" s="18"/>
      <c r="AI19" s="1"/>
      <c r="AJ19" s="1"/>
      <c r="AK19" s="1"/>
    </row>
    <row r="20" spans="1:37" x14ac:dyDescent="0.25">
      <c r="A20" s="29" t="str">
        <f t="shared" ca="1" si="0"/>
        <v>Non-Wave-Burst Interspike Interval</v>
      </c>
      <c r="B20" s="70">
        <f t="shared" ref="B20:B22" si="13">$B$18</f>
        <v>114</v>
      </c>
      <c r="C20" s="71">
        <f>$C19+PropertyCols</f>
        <v>29</v>
      </c>
      <c r="D20" s="84" t="str">
        <f>ADDRESS($B20+2,$C20+1,4,1)&amp;":"&amp;ADDRESS($B20+2+Contents[[#Totals],[Retina ID]],$C20+1,4,1)</f>
        <v>AD116:AD116</v>
      </c>
      <c r="E20" s="50" t="str">
        <f>ADDRESS($B20+2,$C20+2,4,1)&amp;":"&amp;ADDRESS($B20+2+Contents[[#Totals],[Retina ID]],$C20+2,4,1)</f>
        <v>AE116:AE116</v>
      </c>
      <c r="F20" s="50" t="str">
        <f>ADDRESS($B20+2,$C20+3,4,1)&amp;":"&amp;ADDRESS($B20+2+Contents[[#Totals],[Retina ID]],$C20+3,4,1)</f>
        <v>AF116:AF116</v>
      </c>
      <c r="G20" s="85" t="str">
        <f>ADDRESS($B20+2,$C20+4,4,1)&amp;":"&amp;ADDRESS($B20+2+Contents[[#Totals],[Retina ID]],$C20+4,4,1)</f>
        <v>AG116:AG116</v>
      </c>
      <c r="H20" s="98" t="e">
        <f t="shared" ca="1" si="6"/>
        <v>#DIV/0!</v>
      </c>
      <c r="I20" s="59" t="e">
        <f t="shared" ca="1" si="7"/>
        <v>#DIV/0!</v>
      </c>
      <c r="J20" s="59" t="e">
        <f t="shared" ca="1" si="1"/>
        <v>#VALUE!</v>
      </c>
      <c r="K20" s="59" t="e">
        <f t="shared" ca="1" si="2"/>
        <v>#VALUE!</v>
      </c>
      <c r="L20" s="59" t="e">
        <f t="shared" ca="1" si="8"/>
        <v>#DIV/0!</v>
      </c>
      <c r="M20" s="99" t="e">
        <f t="shared" ca="1" si="3"/>
        <v>#VALUE!</v>
      </c>
      <c r="N20" s="21" t="str">
        <f t="shared" ca="1" si="9"/>
        <v/>
      </c>
      <c r="O20" s="21" t="str">
        <f t="shared" ca="1" si="10"/>
        <v/>
      </c>
      <c r="P20" s="21" t="str">
        <f t="shared" ca="1" si="4"/>
        <v/>
      </c>
      <c r="Q20" s="22" t="str">
        <f t="shared" ca="1" si="5"/>
        <v/>
      </c>
      <c r="W20" s="1"/>
      <c r="X20" s="1"/>
      <c r="Y20" s="1"/>
      <c r="AE20" s="18"/>
      <c r="AF20" s="18"/>
      <c r="AG20" s="18"/>
      <c r="AI20" s="1"/>
      <c r="AJ20" s="1"/>
      <c r="AK20" s="1"/>
    </row>
    <row r="21" spans="1:37" x14ac:dyDescent="0.25">
      <c r="A21" s="29" t="str">
        <f t="shared" ca="1" si="0"/>
        <v>Percent Non-Wave-Burst Time &gt;10 Hz</v>
      </c>
      <c r="B21" s="70">
        <f t="shared" si="13"/>
        <v>114</v>
      </c>
      <c r="C21" s="71">
        <f>$C20+PropertyCols</f>
        <v>36</v>
      </c>
      <c r="D21" s="84" t="str">
        <f>ADDRESS($B21+2,$C21+1,4,1)&amp;":"&amp;ADDRESS($B21+2+Contents[[#Totals],[Retina ID]],$C21+1,4,1)</f>
        <v>AK116:AK116</v>
      </c>
      <c r="E21" s="50" t="str">
        <f>ADDRESS($B21+2,$C21+2,4,1)&amp;":"&amp;ADDRESS($B21+2+Contents[[#Totals],[Retina ID]],$C21+2,4,1)</f>
        <v>AL116:AL116</v>
      </c>
      <c r="F21" s="50" t="str">
        <f>ADDRESS($B21+2,$C21+3,4,1)&amp;":"&amp;ADDRESS($B21+2+Contents[[#Totals],[Retina ID]],$C21+3,4,1)</f>
        <v>AM116:AM116</v>
      </c>
      <c r="G21" s="85" t="str">
        <f>ADDRESS($B21+2,$C21+4,4,1)&amp;":"&amp;ADDRESS($B21+2+Contents[[#Totals],[Retina ID]],$C21+4,4,1)</f>
        <v>AN116:AN116</v>
      </c>
      <c r="H21" s="98" t="e">
        <f t="shared" ca="1" si="6"/>
        <v>#DIV/0!</v>
      </c>
      <c r="I21" s="59" t="e">
        <f t="shared" ca="1" si="7"/>
        <v>#DIV/0!</v>
      </c>
      <c r="J21" s="59" t="e">
        <f t="shared" ca="1" si="1"/>
        <v>#VALUE!</v>
      </c>
      <c r="K21" s="59" t="e">
        <f t="shared" ca="1" si="2"/>
        <v>#VALUE!</v>
      </c>
      <c r="L21" s="59" t="e">
        <f t="shared" ca="1" si="8"/>
        <v>#DIV/0!</v>
      </c>
      <c r="M21" s="99" t="e">
        <f t="shared" ca="1" si="3"/>
        <v>#VALUE!</v>
      </c>
      <c r="N21" s="21" t="str">
        <f t="shared" ca="1" si="9"/>
        <v/>
      </c>
      <c r="O21" s="21" t="str">
        <f t="shared" ca="1" si="10"/>
        <v/>
      </c>
      <c r="P21" s="21" t="str">
        <f t="shared" ca="1" si="4"/>
        <v/>
      </c>
      <c r="Q21" s="22" t="str">
        <f t="shared" ca="1" si="5"/>
        <v/>
      </c>
      <c r="W21" s="1"/>
      <c r="X21" s="1"/>
      <c r="Y21" s="1"/>
      <c r="AE21" s="18"/>
      <c r="AF21" s="18"/>
      <c r="AG21" s="18"/>
      <c r="AI21" s="1"/>
      <c r="AJ21" s="1"/>
      <c r="AK21" s="1"/>
    </row>
    <row r="22" spans="1:37" ht="15.75" thickBot="1" x14ac:dyDescent="0.3">
      <c r="A22" s="30" t="str">
        <f t="shared" ca="1" si="0"/>
        <v>Spikes Per Non-Wave-Burst</v>
      </c>
      <c r="B22" s="72">
        <f t="shared" si="13"/>
        <v>114</v>
      </c>
      <c r="C22" s="73">
        <f>$C21+PropertyCols</f>
        <v>43</v>
      </c>
      <c r="D22" s="86" t="str">
        <f>ADDRESS($B22+2,$C22+1,4,1)&amp;":"&amp;ADDRESS($B22+2+Contents[[#Totals],[Retina ID]],$C22+1,4,1)</f>
        <v>AR116:AR116</v>
      </c>
      <c r="E22" s="51" t="str">
        <f>ADDRESS($B22+2,$C22+2,4,1)&amp;":"&amp;ADDRESS($B22+2+Contents[[#Totals],[Retina ID]],$C22+2,4,1)</f>
        <v>AS116:AS116</v>
      </c>
      <c r="F22" s="51" t="str">
        <f>ADDRESS($B22+2,$C22+3,4,1)&amp;":"&amp;ADDRESS($B22+2+Contents[[#Totals],[Retina ID]],$C22+3,4,1)</f>
        <v>AT116:AT116</v>
      </c>
      <c r="G22" s="87" t="str">
        <f>ADDRESS($B22+2,$C22+4,4,1)&amp;":"&amp;ADDRESS($B22+2+Contents[[#Totals],[Retina ID]],$C22+4,4,1)</f>
        <v>AU116:AU116</v>
      </c>
      <c r="H22" s="100" t="e">
        <f t="shared" ca="1" si="6"/>
        <v>#DIV/0!</v>
      </c>
      <c r="I22" s="60" t="e">
        <f t="shared" ca="1" si="7"/>
        <v>#DIV/0!</v>
      </c>
      <c r="J22" s="60" t="e">
        <f t="shared" ca="1" si="1"/>
        <v>#VALUE!</v>
      </c>
      <c r="K22" s="60" t="e">
        <f t="shared" ca="1" si="2"/>
        <v>#VALUE!</v>
      </c>
      <c r="L22" s="60" t="e">
        <f t="shared" ca="1" si="8"/>
        <v>#DIV/0!</v>
      </c>
      <c r="M22" s="101" t="e">
        <f t="shared" ca="1" si="3"/>
        <v>#VALUE!</v>
      </c>
      <c r="N22" s="23" t="str">
        <f t="shared" ca="1" si="9"/>
        <v/>
      </c>
      <c r="O22" s="23" t="str">
        <f t="shared" ca="1" si="10"/>
        <v/>
      </c>
      <c r="P22" s="23" t="str">
        <f t="shared" ca="1" si="4"/>
        <v/>
      </c>
      <c r="Q22" s="24" t="str">
        <f t="shared" ca="1" si="5"/>
        <v/>
      </c>
      <c r="W22" s="1"/>
      <c r="X22" s="1"/>
      <c r="Y22" s="1"/>
      <c r="AE22" s="18"/>
      <c r="AF22" s="18"/>
      <c r="AG22" s="18"/>
      <c r="AI22" s="1"/>
      <c r="AJ22" s="1"/>
      <c r="AK22" s="1"/>
    </row>
    <row r="31" spans="1:37" s="102" customFormat="1" x14ac:dyDescent="0.25">
      <c r="O31" s="10"/>
      <c r="P31" s="10"/>
      <c r="Q31" s="10"/>
      <c r="R31" s="10"/>
      <c r="S31" s="10"/>
      <c r="T31" s="10"/>
      <c r="U31" s="10"/>
      <c r="V31" s="10"/>
      <c r="AE31" s="10"/>
      <c r="AF31" s="10"/>
      <c r="AG31" s="10"/>
      <c r="AH31" s="10"/>
    </row>
    <row r="34" spans="1:34" ht="15" customHeight="1" x14ac:dyDescent="0.25">
      <c r="A34" s="104" t="s">
        <v>14</v>
      </c>
      <c r="AE34" s="18"/>
      <c r="AF34" s="18"/>
      <c r="AG34" s="18"/>
      <c r="AH34" s="18"/>
    </row>
    <row r="35" spans="1:34" x14ac:dyDescent="0.25">
      <c r="A35" s="104"/>
      <c r="AE35" s="18"/>
      <c r="AF35" s="18"/>
      <c r="AG35" s="18"/>
      <c r="AH35" s="18"/>
    </row>
    <row r="36" spans="1:34" x14ac:dyDescent="0.25">
      <c r="A36" s="104"/>
      <c r="AE36" s="18"/>
      <c r="AF36" s="18"/>
      <c r="AG36" s="18"/>
      <c r="AH36" s="18"/>
    </row>
    <row r="37" spans="1:34" x14ac:dyDescent="0.25">
      <c r="A37" s="104"/>
      <c r="AE37" s="18"/>
      <c r="AF37" s="18"/>
      <c r="AG37" s="18"/>
      <c r="AH37" s="18"/>
    </row>
    <row r="38" spans="1:34" x14ac:dyDescent="0.25">
      <c r="A38" s="104"/>
      <c r="AE38" s="18"/>
      <c r="AF38" s="18"/>
      <c r="AG38" s="18"/>
      <c r="AH38" s="18"/>
    </row>
    <row r="39" spans="1:34" x14ac:dyDescent="0.25">
      <c r="A39" s="104"/>
      <c r="AE39" s="18"/>
      <c r="AF39" s="18"/>
      <c r="AG39" s="18"/>
      <c r="AH39" s="18"/>
    </row>
    <row r="40" spans="1:34" x14ac:dyDescent="0.25">
      <c r="A40" s="104"/>
      <c r="AE40" s="18"/>
      <c r="AF40" s="18"/>
      <c r="AG40" s="18"/>
      <c r="AH40" s="18"/>
    </row>
    <row r="41" spans="1:34" x14ac:dyDescent="0.25">
      <c r="A41" s="104"/>
      <c r="AE41" s="18"/>
      <c r="AF41" s="18"/>
      <c r="AG41" s="18"/>
      <c r="AH41" s="18"/>
    </row>
    <row r="42" spans="1:34" x14ac:dyDescent="0.25">
      <c r="A42" s="104"/>
      <c r="AE42" s="18"/>
      <c r="AF42" s="18"/>
      <c r="AG42" s="18"/>
      <c r="AH42" s="18"/>
    </row>
    <row r="43" spans="1:34" x14ac:dyDescent="0.25">
      <c r="A43" s="104"/>
      <c r="AE43" s="18"/>
      <c r="AF43" s="18"/>
      <c r="AG43" s="18"/>
      <c r="AH43" s="18"/>
    </row>
    <row r="44" spans="1:34" x14ac:dyDescent="0.25">
      <c r="A44" s="104"/>
      <c r="AE44" s="18"/>
      <c r="AF44" s="18"/>
      <c r="AG44" s="18"/>
      <c r="AH44" s="18"/>
    </row>
    <row r="45" spans="1:34" x14ac:dyDescent="0.25">
      <c r="A45" s="104"/>
      <c r="AE45" s="18"/>
      <c r="AF45" s="18"/>
      <c r="AG45" s="18"/>
      <c r="AH45" s="18"/>
    </row>
    <row r="46" spans="1:34" x14ac:dyDescent="0.25">
      <c r="A46" s="104"/>
      <c r="AE46" s="18"/>
      <c r="AF46" s="18"/>
      <c r="AG46" s="18"/>
      <c r="AH46" s="18"/>
    </row>
    <row r="47" spans="1:34" x14ac:dyDescent="0.25">
      <c r="A47" s="104"/>
      <c r="AE47" s="18"/>
      <c r="AF47" s="18"/>
      <c r="AG47" s="18"/>
      <c r="AH47" s="18"/>
    </row>
    <row r="48" spans="1:34" x14ac:dyDescent="0.25">
      <c r="A48" s="104"/>
      <c r="AE48" s="18"/>
      <c r="AF48" s="18"/>
      <c r="AG48" s="18"/>
      <c r="AH48" s="18"/>
    </row>
    <row r="49" spans="1:54" x14ac:dyDescent="0.25">
      <c r="A49" s="104"/>
      <c r="O49" s="1">
        <v>0</v>
      </c>
      <c r="V49" s="1">
        <v>1</v>
      </c>
      <c r="AC49" s="1">
        <v>2</v>
      </c>
      <c r="AE49" s="18"/>
      <c r="AF49" s="18"/>
      <c r="AG49" s="18"/>
      <c r="AH49" s="18"/>
      <c r="AJ49" s="1">
        <v>3</v>
      </c>
      <c r="AQ49" s="1">
        <v>4</v>
      </c>
      <c r="AX49" s="1">
        <v>5</v>
      </c>
    </row>
    <row r="50" spans="1:54" ht="15.75" thickBot="1" x14ac:dyDescent="0.3">
      <c r="A50" s="104"/>
      <c r="O50" s="103" t="s">
        <v>1</v>
      </c>
      <c r="P50" s="103"/>
      <c r="Q50" s="103"/>
      <c r="R50" s="103"/>
      <c r="S50" s="103"/>
      <c r="V50" s="103" t="s">
        <v>2</v>
      </c>
      <c r="W50" s="103"/>
      <c r="X50" s="103"/>
      <c r="Y50" s="103"/>
      <c r="Z50" s="103"/>
      <c r="AC50" s="103" t="s">
        <v>3</v>
      </c>
      <c r="AD50" s="103"/>
      <c r="AE50" s="103"/>
      <c r="AF50" s="103"/>
      <c r="AG50" s="103"/>
      <c r="AH50" s="18"/>
      <c r="AJ50" s="103" t="s">
        <v>4</v>
      </c>
      <c r="AK50" s="103"/>
      <c r="AL50" s="103"/>
      <c r="AM50" s="103"/>
      <c r="AN50" s="103"/>
      <c r="AQ50" s="103" t="s">
        <v>1</v>
      </c>
      <c r="AR50" s="103"/>
      <c r="AS50" s="103"/>
      <c r="AT50" s="103"/>
      <c r="AU50" s="103"/>
      <c r="AX50" s="103" t="s">
        <v>25</v>
      </c>
      <c r="AY50" s="103"/>
      <c r="AZ50" s="103"/>
      <c r="BA50" s="103"/>
      <c r="BB50" s="103"/>
    </row>
    <row r="51" spans="1:54" x14ac:dyDescent="0.25">
      <c r="A51" s="104"/>
      <c r="O51" s="3" t="s">
        <v>0</v>
      </c>
      <c r="P51" s="3" t="s">
        <v>6</v>
      </c>
      <c r="Q51" s="3" t="s">
        <v>23</v>
      </c>
      <c r="R51" s="3" t="s">
        <v>34</v>
      </c>
      <c r="S51" s="3" t="s">
        <v>32</v>
      </c>
      <c r="V51" s="3" t="s">
        <v>0</v>
      </c>
      <c r="W51" s="3" t="s">
        <v>6</v>
      </c>
      <c r="X51" s="3" t="s">
        <v>23</v>
      </c>
      <c r="Y51" s="3" t="s">
        <v>34</v>
      </c>
      <c r="Z51" s="3" t="s">
        <v>32</v>
      </c>
      <c r="AC51" s="3" t="s">
        <v>0</v>
      </c>
      <c r="AD51" s="3" t="s">
        <v>6</v>
      </c>
      <c r="AE51" s="3" t="s">
        <v>23</v>
      </c>
      <c r="AF51" s="3" t="s">
        <v>34</v>
      </c>
      <c r="AG51" s="3" t="s">
        <v>32</v>
      </c>
      <c r="AH51" s="18"/>
      <c r="AJ51" s="3" t="s">
        <v>0</v>
      </c>
      <c r="AK51" s="3" t="s">
        <v>6</v>
      </c>
      <c r="AL51" s="3" t="s">
        <v>23</v>
      </c>
      <c r="AM51" s="3" t="s">
        <v>34</v>
      </c>
      <c r="AN51" s="3" t="s">
        <v>32</v>
      </c>
      <c r="AQ51" s="3" t="s">
        <v>0</v>
      </c>
      <c r="AR51" s="3" t="s">
        <v>6</v>
      </c>
      <c r="AS51" s="3" t="s">
        <v>23</v>
      </c>
      <c r="AT51" s="3" t="s">
        <v>34</v>
      </c>
      <c r="AU51" s="3" t="s">
        <v>32</v>
      </c>
      <c r="AX51" s="3" t="s">
        <v>0</v>
      </c>
      <c r="AY51" s="3" t="s">
        <v>6</v>
      </c>
      <c r="AZ51" s="3" t="s">
        <v>23</v>
      </c>
      <c r="BA51" s="3" t="s">
        <v>34</v>
      </c>
      <c r="BB51" s="3" t="s">
        <v>32</v>
      </c>
    </row>
    <row r="52" spans="1:54" x14ac:dyDescent="0.25">
      <c r="A52" s="104"/>
      <c r="O52" s="3">
        <v>1</v>
      </c>
      <c r="P52" s="1" t="str">
        <f ca="1">IFERROR(AVERAGEIF(WT_Dark_All[Retina],O52,OFFSET(WT_Dark_All[BkgrdFiringRate],0,O$49)),"")</f>
        <v/>
      </c>
      <c r="Q52" s="1" t="str">
        <f ca="1">IFERROR(AVERAGEIF(DTA_Dark_All[Retina],O52,OFFSET(DTA_Dark_All[BkgrdFiringRate],0,O$49)),"")</f>
        <v/>
      </c>
      <c r="R52" s="1" t="str">
        <f ca="1">IFERROR(P52/#REF!,"")</f>
        <v/>
      </c>
      <c r="S52" s="1" t="str">
        <f ca="1">IFERROR((Q52-P52)/P52,"")</f>
        <v/>
      </c>
      <c r="V52" s="3">
        <v>1</v>
      </c>
      <c r="W52" s="1" t="str">
        <f ca="1">IFERROR(AVERAGEIF(WT_Dark_All[Retina],V52,OFFSET(WT_Dark_All[BkgrdFiringRate],0,V$49)),"")</f>
        <v/>
      </c>
      <c r="X52" s="1" t="str">
        <f ca="1">IFERROR(AVERAGEIF(DTA_Dark_All[Retina],V52,OFFSET(DTA_Dark_All[BkgrdFiringRate],0,V$49)),"")</f>
        <v/>
      </c>
      <c r="Y52" s="1" t="str">
        <f ca="1">IFERROR(W52/#REF!,"")</f>
        <v/>
      </c>
      <c r="Z52" s="1" t="str">
        <f ca="1">IFERROR((X52-W52)/W52,"")</f>
        <v/>
      </c>
      <c r="AC52" s="3">
        <v>1</v>
      </c>
      <c r="AD52" s="1" t="str">
        <f ca="1">IFERROR(AVERAGEIF(WT_Dark_All[Retina],AC52,OFFSET(WT_Dark_All[BkgrdFiringRate],0,AC$49)),"")</f>
        <v/>
      </c>
      <c r="AE52" s="1" t="str">
        <f ca="1">IFERROR(AVERAGEIF(DTA_Dark_All[Retina],AC52,OFFSET(DTA_Dark_All[BkgrdFiringRate],0,AC$49)),"")</f>
        <v/>
      </c>
      <c r="AF52" s="1" t="str">
        <f ca="1">IFERROR(AD52/#REF!,"")</f>
        <v/>
      </c>
      <c r="AG52" s="1" t="str">
        <f ca="1">IFERROR((AE52-AD52)/AD52,"")</f>
        <v/>
      </c>
      <c r="AH52" s="18"/>
      <c r="AJ52" s="3">
        <v>1</v>
      </c>
      <c r="AK52" s="1" t="str">
        <f ca="1">IFERROR(AVERAGEIF(WT_Dark_All[Retina],AJ52,OFFSET(WT_Dark_All[BkgrdFiringRate],0,AJ$49)),"")</f>
        <v/>
      </c>
      <c r="AL52" s="1" t="str">
        <f ca="1">IFERROR(AVERAGEIF(DTA_Dark_All[Retina],AJ52,OFFSET(DTA_Dark_All[BkgrdFiringRate],0,AJ$49)),"")</f>
        <v/>
      </c>
      <c r="AM52" s="1" t="str">
        <f ca="1">IFERROR(AK52/#REF!,"")</f>
        <v/>
      </c>
      <c r="AN52" s="1" t="str">
        <f ca="1">IFERROR((AL52-AK52)/AK52,"")</f>
        <v/>
      </c>
      <c r="AQ52" s="3">
        <v>1</v>
      </c>
      <c r="AR52" s="1" t="str">
        <f ca="1">IFERROR(AVERAGEIF(WT_Dark_All[Retina],AQ52,OFFSET(WT_Dark_All[BkgrdFiringRate],0,AQ$49)),"")</f>
        <v/>
      </c>
      <c r="AS52" s="1" t="str">
        <f ca="1">IFERROR(AVERAGEIF(DTA_Dark_All[Retina],AQ52,OFFSET(DTA_Dark_All[BkgrdFiringRate],0,AQ$49)),"")</f>
        <v/>
      </c>
      <c r="AT52" s="1" t="str">
        <f ca="1">IFERROR(AR52/#REF!,"")</f>
        <v/>
      </c>
      <c r="AU52" s="1" t="str">
        <f ca="1">IFERROR((AS52-AR52)/AR52,"")</f>
        <v/>
      </c>
      <c r="AX52" s="3">
        <v>1</v>
      </c>
      <c r="AY52" s="1" t="str">
        <f ca="1">IFERROR(AVERAGEIF(WT_Dark_All[Retina],AX52,OFFSET(WT_Dark_All[BkgrdFiringRate],0,AX$49)),"")</f>
        <v/>
      </c>
      <c r="AZ52" s="1" t="str">
        <f ca="1">IFERROR(AVERAGEIF(DTA_Dark_All[Retina],AX52,OFFSET(DTA_Dark_All[BkgrdFiringRate],0,AX$49)),"")</f>
        <v/>
      </c>
      <c r="BA52" s="1" t="str">
        <f ca="1">IFERROR(AY52/#REF!,"")</f>
        <v/>
      </c>
      <c r="BB52" s="1" t="str">
        <f ca="1">IFERROR((AZ52-AY52)/AY52,"")</f>
        <v/>
      </c>
    </row>
    <row r="53" spans="1:54" x14ac:dyDescent="0.25">
      <c r="A53" s="104"/>
      <c r="O53" s="3">
        <v>2</v>
      </c>
      <c r="P53" s="1" t="str">
        <f ca="1">IFERROR(AVERAGEIF(WT_Dark_All[Retina],O53,OFFSET(WT_Dark_All[BkgrdFiringRate],0,O$49)),"")</f>
        <v/>
      </c>
      <c r="Q53" s="1" t="str">
        <f ca="1">IFERROR(AVERAGEIF(DTA_Dark_All[Retina],O53,OFFSET(DTA_Dark_All[BkgrdFiringRate],0,O$49)),"")</f>
        <v/>
      </c>
      <c r="R53" s="1" t="str">
        <f ca="1">IFERROR(P53/#REF!,"")</f>
        <v/>
      </c>
      <c r="S53" s="1" t="str">
        <f t="shared" ref="S53:S58" ca="1" si="14">IFERROR((Q53-P53)/P53,"")</f>
        <v/>
      </c>
      <c r="V53" s="3">
        <v>2</v>
      </c>
      <c r="W53" s="1" t="str">
        <f ca="1">IFERROR(AVERAGEIF(WT_Dark_All[Retina],V53,OFFSET(WT_Dark_All[BkgrdFiringRate],0,V$49)),"")</f>
        <v/>
      </c>
      <c r="X53" s="1" t="str">
        <f ca="1">IFERROR(AVERAGEIF(DTA_Dark_All[Retina],V53,OFFSET(DTA_Dark_All[BkgrdFiringRate],0,V$49)),"")</f>
        <v/>
      </c>
      <c r="Y53" s="1" t="str">
        <f ca="1">IFERROR(W53/#REF!,"")</f>
        <v/>
      </c>
      <c r="Z53" s="1" t="str">
        <f t="shared" ref="Z53:Z58" ca="1" si="15">IFERROR((X53-W53)/W53,"")</f>
        <v/>
      </c>
      <c r="AC53" s="3">
        <v>2</v>
      </c>
      <c r="AD53" s="1" t="str">
        <f ca="1">IFERROR(AVERAGEIF(WT_Dark_All[Retina],AC53,OFFSET(WT_Dark_All[BkgrdFiringRate],0,AC$49)),"")</f>
        <v/>
      </c>
      <c r="AE53" s="1" t="str">
        <f ca="1">IFERROR(AVERAGEIF(DTA_Dark_All[Retina],AC53,OFFSET(DTA_Dark_All[BkgrdFiringRate],0,AC$49)),"")</f>
        <v/>
      </c>
      <c r="AF53" s="1" t="str">
        <f ca="1">IFERROR(AD53/#REF!,"")</f>
        <v/>
      </c>
      <c r="AG53" s="1" t="str">
        <f t="shared" ref="AG53:AG58" ca="1" si="16">IFERROR((AE53-AD53)/AD53,"")</f>
        <v/>
      </c>
      <c r="AH53" s="18"/>
      <c r="AJ53" s="3">
        <v>2</v>
      </c>
      <c r="AK53" s="1" t="str">
        <f ca="1">IFERROR(AVERAGEIF(WT_Dark_All[Retina],AJ53,OFFSET(WT_Dark_All[BkgrdFiringRate],0,AJ$49)),"")</f>
        <v/>
      </c>
      <c r="AL53" s="1" t="str">
        <f ca="1">IFERROR(AVERAGEIF(DTA_Dark_All[Retina],AJ53,OFFSET(DTA_Dark_All[BkgrdFiringRate],0,AJ$49)),"")</f>
        <v/>
      </c>
      <c r="AM53" s="1" t="str">
        <f ca="1">IFERROR(AK53/#REF!,"")</f>
        <v/>
      </c>
      <c r="AN53" s="1" t="str">
        <f t="shared" ref="AN53:AN58" ca="1" si="17">IFERROR((AL53-AK53)/AK53,"")</f>
        <v/>
      </c>
      <c r="AQ53" s="3">
        <v>2</v>
      </c>
      <c r="AR53" s="1" t="str">
        <f ca="1">IFERROR(AVERAGEIF(WT_Dark_All[Retina],AQ53,OFFSET(WT_Dark_All[BkgrdFiringRate],0,AQ$49)),"")</f>
        <v/>
      </c>
      <c r="AS53" s="1" t="str">
        <f ca="1">IFERROR(AVERAGEIF(DTA_Dark_All[Retina],AQ53,OFFSET(DTA_Dark_All[BkgrdFiringRate],0,AQ$49)),"")</f>
        <v/>
      </c>
      <c r="AT53" s="1" t="str">
        <f ca="1">IFERROR(AR53/#REF!,"")</f>
        <v/>
      </c>
      <c r="AU53" s="1" t="str">
        <f t="shared" ref="AU53:AU58" ca="1" si="18">IFERROR((AS53-AR53)/AR53,"")</f>
        <v/>
      </c>
      <c r="AX53" s="3">
        <v>2</v>
      </c>
      <c r="AY53" s="1" t="str">
        <f ca="1">IFERROR(AVERAGEIF(WT_Dark_All[Retina],AX53,OFFSET(WT_Dark_All[BkgrdFiringRate],0,AX$49)),"")</f>
        <v/>
      </c>
      <c r="AZ53" s="1" t="str">
        <f ca="1">IFERROR(AVERAGEIF(DTA_Dark_All[Retina],AX53,OFFSET(DTA_Dark_All[BkgrdFiringRate],0,AX$49)),"")</f>
        <v/>
      </c>
      <c r="BA53" s="1" t="str">
        <f ca="1">IFERROR(AY53/#REF!,"")</f>
        <v/>
      </c>
      <c r="BB53" s="1" t="str">
        <f t="shared" ref="BB53:BB58" ca="1" si="19">IFERROR((AZ53-AY53)/AY53,"")</f>
        <v/>
      </c>
    </row>
    <row r="54" spans="1:54" x14ac:dyDescent="0.25">
      <c r="A54" s="104"/>
      <c r="O54" s="3">
        <v>3</v>
      </c>
      <c r="P54" s="1" t="str">
        <f ca="1">IFERROR(AVERAGEIF(WT_Dark_All[Retina],O54,OFFSET(WT_Dark_All[BkgrdFiringRate],0,O$49)),"")</f>
        <v/>
      </c>
      <c r="Q54" s="1" t="str">
        <f ca="1">IFERROR(AVERAGEIF(DTA_Dark_All[Retina],O54,OFFSET(DTA_Dark_All[BkgrdFiringRate],0,O$49)),"")</f>
        <v/>
      </c>
      <c r="R54" s="1" t="str">
        <f ca="1">IFERROR(P54/#REF!,"")</f>
        <v/>
      </c>
      <c r="S54" s="1" t="str">
        <f t="shared" ca="1" si="14"/>
        <v/>
      </c>
      <c r="V54" s="3">
        <v>3</v>
      </c>
      <c r="W54" s="1" t="str">
        <f ca="1">IFERROR(AVERAGEIF(WT_Dark_All[Retina],V54,OFFSET(WT_Dark_All[BkgrdFiringRate],0,V$49)),"")</f>
        <v/>
      </c>
      <c r="X54" s="1" t="str">
        <f ca="1">IFERROR(AVERAGEIF(DTA_Dark_All[Retina],V54,OFFSET(DTA_Dark_All[BkgrdFiringRate],0,V$49)),"")</f>
        <v/>
      </c>
      <c r="Y54" s="1" t="str">
        <f ca="1">IFERROR(W54/#REF!,"")</f>
        <v/>
      </c>
      <c r="Z54" s="1" t="str">
        <f t="shared" ca="1" si="15"/>
        <v/>
      </c>
      <c r="AC54" s="3">
        <v>3</v>
      </c>
      <c r="AD54" s="1" t="str">
        <f ca="1">IFERROR(AVERAGEIF(WT_Dark_All[Retina],AC54,OFFSET(WT_Dark_All[BkgrdFiringRate],0,AC$49)),"")</f>
        <v/>
      </c>
      <c r="AE54" s="1" t="str">
        <f ca="1">IFERROR(AVERAGEIF(DTA_Dark_All[Retina],AC54,OFFSET(DTA_Dark_All[BkgrdFiringRate],0,AC$49)),"")</f>
        <v/>
      </c>
      <c r="AF54" s="1" t="str">
        <f ca="1">IFERROR(AD54/#REF!,"")</f>
        <v/>
      </c>
      <c r="AG54" s="1" t="str">
        <f t="shared" ca="1" si="16"/>
        <v/>
      </c>
      <c r="AH54" s="18"/>
      <c r="AJ54" s="3">
        <v>3</v>
      </c>
      <c r="AK54" s="1" t="str">
        <f ca="1">IFERROR(AVERAGEIF(WT_Dark_All[Retina],AJ54,OFFSET(WT_Dark_All[BkgrdFiringRate],0,AJ$49)),"")</f>
        <v/>
      </c>
      <c r="AL54" s="1" t="str">
        <f ca="1">IFERROR(AVERAGEIF(DTA_Dark_All[Retina],AJ54,OFFSET(DTA_Dark_All[BkgrdFiringRate],0,AJ$49)),"")</f>
        <v/>
      </c>
      <c r="AM54" s="1" t="str">
        <f ca="1">IFERROR(AK54/#REF!,"")</f>
        <v/>
      </c>
      <c r="AN54" s="1" t="str">
        <f t="shared" ca="1" si="17"/>
        <v/>
      </c>
      <c r="AQ54" s="3">
        <v>3</v>
      </c>
      <c r="AR54" s="1" t="str">
        <f ca="1">IFERROR(AVERAGEIF(WT_Dark_All[Retina],AQ54,OFFSET(WT_Dark_All[BkgrdFiringRate],0,AQ$49)),"")</f>
        <v/>
      </c>
      <c r="AS54" s="1" t="str">
        <f ca="1">IFERROR(AVERAGEIF(DTA_Dark_All[Retina],AQ54,OFFSET(DTA_Dark_All[BkgrdFiringRate],0,AQ$49)),"")</f>
        <v/>
      </c>
      <c r="AT54" s="1" t="str">
        <f ca="1">IFERROR(AR54/#REF!,"")</f>
        <v/>
      </c>
      <c r="AU54" s="1" t="str">
        <f t="shared" ca="1" si="18"/>
        <v/>
      </c>
      <c r="AX54" s="3">
        <v>3</v>
      </c>
      <c r="AY54" s="1" t="str">
        <f ca="1">IFERROR(AVERAGEIF(WT_Dark_All[Retina],AX54,OFFSET(WT_Dark_All[BkgrdFiringRate],0,AX$49)),"")</f>
        <v/>
      </c>
      <c r="AZ54" s="1" t="str">
        <f ca="1">IFERROR(AVERAGEIF(DTA_Dark_All[Retina],AX54,OFFSET(DTA_Dark_All[BkgrdFiringRate],0,AX$49)),"")</f>
        <v/>
      </c>
      <c r="BA54" s="1" t="str">
        <f ca="1">IFERROR(AY54/#REF!,"")</f>
        <v/>
      </c>
      <c r="BB54" s="1" t="str">
        <f t="shared" ca="1" si="19"/>
        <v/>
      </c>
    </row>
    <row r="55" spans="1:54" x14ac:dyDescent="0.25">
      <c r="A55" s="104"/>
      <c r="O55" s="3">
        <v>4</v>
      </c>
      <c r="P55" s="1" t="str">
        <f ca="1">IFERROR(AVERAGEIF(WT_Dark_All[Retina],O55,OFFSET(WT_Dark_All[BkgrdFiringRate],0,O$49)),"")</f>
        <v/>
      </c>
      <c r="Q55" s="1" t="str">
        <f ca="1">IFERROR(AVERAGEIF(DTA_Dark_All[Retina],O55,OFFSET(DTA_Dark_All[BkgrdFiringRate],0,O$49)),"")</f>
        <v/>
      </c>
      <c r="R55" s="1" t="str">
        <f ca="1">IFERROR(P55/#REF!,"")</f>
        <v/>
      </c>
      <c r="S55" s="1" t="str">
        <f t="shared" ca="1" si="14"/>
        <v/>
      </c>
      <c r="V55" s="3">
        <v>4</v>
      </c>
      <c r="W55" s="1" t="str">
        <f ca="1">IFERROR(AVERAGEIF(WT_Dark_All[Retina],V55,OFFSET(WT_Dark_All[BkgrdFiringRate],0,V$49)),"")</f>
        <v/>
      </c>
      <c r="X55" s="1" t="str">
        <f ca="1">IFERROR(AVERAGEIF(DTA_Dark_All[Retina],V55,OFFSET(DTA_Dark_All[BkgrdFiringRate],0,V$49)),"")</f>
        <v/>
      </c>
      <c r="Y55" s="1" t="str">
        <f ca="1">IFERROR(W55/#REF!,"")</f>
        <v/>
      </c>
      <c r="Z55" s="1" t="str">
        <f t="shared" ca="1" si="15"/>
        <v/>
      </c>
      <c r="AC55" s="3">
        <v>4</v>
      </c>
      <c r="AD55" s="1" t="str">
        <f ca="1">IFERROR(AVERAGEIF(WT_Dark_All[Retina],AC55,OFFSET(WT_Dark_All[BkgrdFiringRate],0,AC$49)),"")</f>
        <v/>
      </c>
      <c r="AE55" s="1" t="str">
        <f ca="1">IFERROR(AVERAGEIF(DTA_Dark_All[Retina],AC55,OFFSET(DTA_Dark_All[BkgrdFiringRate],0,AC$49)),"")</f>
        <v/>
      </c>
      <c r="AF55" s="1" t="str">
        <f ca="1">IFERROR(AD55/#REF!,"")</f>
        <v/>
      </c>
      <c r="AG55" s="1" t="str">
        <f t="shared" ca="1" si="16"/>
        <v/>
      </c>
      <c r="AH55" s="18"/>
      <c r="AJ55" s="3">
        <v>4</v>
      </c>
      <c r="AK55" s="1" t="str">
        <f ca="1">IFERROR(AVERAGEIF(WT_Dark_All[Retina],AJ55,OFFSET(WT_Dark_All[BkgrdFiringRate],0,AJ$49)),"")</f>
        <v/>
      </c>
      <c r="AL55" s="1" t="str">
        <f ca="1">IFERROR(AVERAGEIF(DTA_Dark_All[Retina],AJ55,OFFSET(DTA_Dark_All[BkgrdFiringRate],0,AJ$49)),"")</f>
        <v/>
      </c>
      <c r="AM55" s="1" t="str">
        <f ca="1">IFERROR(AK55/#REF!,"")</f>
        <v/>
      </c>
      <c r="AN55" s="1" t="str">
        <f t="shared" ca="1" si="17"/>
        <v/>
      </c>
      <c r="AQ55" s="3">
        <v>4</v>
      </c>
      <c r="AR55" s="1" t="str">
        <f ca="1">IFERROR(AVERAGEIF(WT_Dark_All[Retina],AQ55,OFFSET(WT_Dark_All[BkgrdFiringRate],0,AQ$49)),"")</f>
        <v/>
      </c>
      <c r="AS55" s="1" t="str">
        <f ca="1">IFERROR(AVERAGEIF(DTA_Dark_All[Retina],AQ55,OFFSET(DTA_Dark_All[BkgrdFiringRate],0,AQ$49)),"")</f>
        <v/>
      </c>
      <c r="AT55" s="1" t="str">
        <f ca="1">IFERROR(AR55/#REF!,"")</f>
        <v/>
      </c>
      <c r="AU55" s="1" t="str">
        <f t="shared" ca="1" si="18"/>
        <v/>
      </c>
      <c r="AX55" s="3">
        <v>4</v>
      </c>
      <c r="AY55" s="1" t="str">
        <f ca="1">IFERROR(AVERAGEIF(WT_Dark_All[Retina],AX55,OFFSET(WT_Dark_All[BkgrdFiringRate],0,AX$49)),"")</f>
        <v/>
      </c>
      <c r="AZ55" s="1" t="str">
        <f ca="1">IFERROR(AVERAGEIF(DTA_Dark_All[Retina],AX55,OFFSET(DTA_Dark_All[BkgrdFiringRate],0,AX$49)),"")</f>
        <v/>
      </c>
      <c r="BA55" s="1" t="str">
        <f ca="1">IFERROR(AY55/#REF!,"")</f>
        <v/>
      </c>
      <c r="BB55" s="1" t="str">
        <f t="shared" ca="1" si="19"/>
        <v/>
      </c>
    </row>
    <row r="56" spans="1:54" x14ac:dyDescent="0.25">
      <c r="A56" s="104"/>
      <c r="O56" s="3">
        <v>5</v>
      </c>
      <c r="P56" s="1" t="str">
        <f ca="1">IFERROR(AVERAGEIF(WT_Dark_All[Retina],O56,OFFSET(WT_Dark_All[BkgrdFiringRate],0,O$49)),"")</f>
        <v/>
      </c>
      <c r="Q56" s="1" t="str">
        <f ca="1">IFERROR(AVERAGEIF(DTA_Dark_All[Retina],O56,OFFSET(DTA_Dark_All[BkgrdFiringRate],0,O$49)),"")</f>
        <v/>
      </c>
      <c r="R56" s="1" t="str">
        <f ca="1">IFERROR(P56/#REF!,"")</f>
        <v/>
      </c>
      <c r="S56" s="1" t="str">
        <f t="shared" ca="1" si="14"/>
        <v/>
      </c>
      <c r="V56" s="3">
        <v>5</v>
      </c>
      <c r="W56" s="1" t="str">
        <f ca="1">IFERROR(AVERAGEIF(WT_Dark_All[Retina],V56,OFFSET(WT_Dark_All[BkgrdFiringRate],0,V$49)),"")</f>
        <v/>
      </c>
      <c r="X56" s="1" t="str">
        <f ca="1">IFERROR(AVERAGEIF(DTA_Dark_All[Retina],V56,OFFSET(DTA_Dark_All[BkgrdFiringRate],0,V$49)),"")</f>
        <v/>
      </c>
      <c r="Y56" s="1" t="str">
        <f ca="1">IFERROR(W56/#REF!,"")</f>
        <v/>
      </c>
      <c r="Z56" s="1" t="str">
        <f t="shared" ca="1" si="15"/>
        <v/>
      </c>
      <c r="AC56" s="3">
        <v>5</v>
      </c>
      <c r="AD56" s="1" t="str">
        <f ca="1">IFERROR(AVERAGEIF(WT_Dark_All[Retina],AC56,OFFSET(WT_Dark_All[BkgrdFiringRate],0,AC$49)),"")</f>
        <v/>
      </c>
      <c r="AE56" s="1" t="str">
        <f ca="1">IFERROR(AVERAGEIF(DTA_Dark_All[Retina],AC56,OFFSET(DTA_Dark_All[BkgrdFiringRate],0,AC$49)),"")</f>
        <v/>
      </c>
      <c r="AF56" s="1" t="str">
        <f ca="1">IFERROR(AD56/#REF!,"")</f>
        <v/>
      </c>
      <c r="AG56" s="1" t="str">
        <f t="shared" ca="1" si="16"/>
        <v/>
      </c>
      <c r="AH56" s="18"/>
      <c r="AJ56" s="3">
        <v>5</v>
      </c>
      <c r="AK56" s="1" t="str">
        <f ca="1">IFERROR(AVERAGEIF(WT_Dark_All[Retina],AJ56,OFFSET(WT_Dark_All[BkgrdFiringRate],0,AJ$49)),"")</f>
        <v/>
      </c>
      <c r="AL56" s="1" t="str">
        <f ca="1">IFERROR(AVERAGEIF(DTA_Dark_All[Retina],AJ56,OFFSET(DTA_Dark_All[BkgrdFiringRate],0,AJ$49)),"")</f>
        <v/>
      </c>
      <c r="AM56" s="1" t="str">
        <f ca="1">IFERROR(AK56/#REF!,"")</f>
        <v/>
      </c>
      <c r="AN56" s="1" t="str">
        <f t="shared" ca="1" si="17"/>
        <v/>
      </c>
      <c r="AQ56" s="3">
        <v>5</v>
      </c>
      <c r="AR56" s="1" t="str">
        <f ca="1">IFERROR(AVERAGEIF(WT_Dark_All[Retina],AQ56,OFFSET(WT_Dark_All[BkgrdFiringRate],0,AQ$49)),"")</f>
        <v/>
      </c>
      <c r="AS56" s="1" t="str">
        <f ca="1">IFERROR(AVERAGEIF(DTA_Dark_All[Retina],AQ56,OFFSET(DTA_Dark_All[BkgrdFiringRate],0,AQ$49)),"")</f>
        <v/>
      </c>
      <c r="AT56" s="1" t="str">
        <f ca="1">IFERROR(AR56/#REF!,"")</f>
        <v/>
      </c>
      <c r="AU56" s="1" t="str">
        <f t="shared" ca="1" si="18"/>
        <v/>
      </c>
      <c r="AX56" s="3">
        <v>5</v>
      </c>
      <c r="AY56" s="1" t="str">
        <f ca="1">IFERROR(AVERAGEIF(WT_Dark_All[Retina],AX56,OFFSET(WT_Dark_All[BkgrdFiringRate],0,AX$49)),"")</f>
        <v/>
      </c>
      <c r="AZ56" s="1" t="str">
        <f ca="1">IFERROR(AVERAGEIF(DTA_Dark_All[Retina],AX56,OFFSET(DTA_Dark_All[BkgrdFiringRate],0,AX$49)),"")</f>
        <v/>
      </c>
      <c r="BA56" s="1" t="str">
        <f ca="1">IFERROR(AY56/#REF!,"")</f>
        <v/>
      </c>
      <c r="BB56" s="1" t="str">
        <f t="shared" ca="1" si="19"/>
        <v/>
      </c>
    </row>
    <row r="57" spans="1:54" x14ac:dyDescent="0.25">
      <c r="A57" s="104"/>
      <c r="O57" s="3">
        <v>6</v>
      </c>
      <c r="P57" s="1" t="str">
        <f ca="1">IFERROR(AVERAGEIF(WT_Dark_All[Retina],O57,OFFSET(WT_Dark_All[BkgrdFiringRate],0,O$49)),"")</f>
        <v/>
      </c>
      <c r="Q57" s="1" t="str">
        <f ca="1">IFERROR(AVERAGEIF(DTA_Dark_All[Retina],O57,OFFSET(DTA_Dark_All[BkgrdFiringRate],0,O$49)),"")</f>
        <v/>
      </c>
      <c r="R57" s="1" t="str">
        <f ca="1">IFERROR(P57/#REF!,"")</f>
        <v/>
      </c>
      <c r="S57" s="1" t="str">
        <f t="shared" ca="1" si="14"/>
        <v/>
      </c>
      <c r="V57" s="3">
        <v>6</v>
      </c>
      <c r="W57" s="1" t="str">
        <f ca="1">IFERROR(AVERAGEIF(WT_Dark_All[Retina],V57,OFFSET(WT_Dark_All[BkgrdFiringRate],0,V$49)),"")</f>
        <v/>
      </c>
      <c r="X57" s="1" t="str">
        <f ca="1">IFERROR(AVERAGEIF(DTA_Dark_All[Retina],V57,OFFSET(DTA_Dark_All[BkgrdFiringRate],0,V$49)),"")</f>
        <v/>
      </c>
      <c r="Y57" s="1" t="str">
        <f ca="1">IFERROR(W57/#REF!,"")</f>
        <v/>
      </c>
      <c r="Z57" s="1" t="str">
        <f t="shared" ca="1" si="15"/>
        <v/>
      </c>
      <c r="AC57" s="3">
        <v>6</v>
      </c>
      <c r="AD57" s="1" t="str">
        <f ca="1">IFERROR(AVERAGEIF(WT_Dark_All[Retina],AC57,OFFSET(WT_Dark_All[BkgrdFiringRate],0,AC$49)),"")</f>
        <v/>
      </c>
      <c r="AE57" s="1" t="str">
        <f ca="1">IFERROR(AVERAGEIF(DTA_Dark_All[Retina],AC57,OFFSET(DTA_Dark_All[BkgrdFiringRate],0,AC$49)),"")</f>
        <v/>
      </c>
      <c r="AF57" s="1" t="str">
        <f ca="1">IFERROR(AD57/#REF!,"")</f>
        <v/>
      </c>
      <c r="AG57" s="1" t="str">
        <f t="shared" ca="1" si="16"/>
        <v/>
      </c>
      <c r="AH57" s="18"/>
      <c r="AJ57" s="3">
        <v>6</v>
      </c>
      <c r="AK57" s="1" t="str">
        <f ca="1">IFERROR(AVERAGEIF(WT_Dark_All[Retina],AJ57,OFFSET(WT_Dark_All[BkgrdFiringRate],0,AJ$49)),"")</f>
        <v/>
      </c>
      <c r="AL57" s="1" t="str">
        <f ca="1">IFERROR(AVERAGEIF(DTA_Dark_All[Retina],AJ57,OFFSET(DTA_Dark_All[BkgrdFiringRate],0,AJ$49)),"")</f>
        <v/>
      </c>
      <c r="AM57" s="1" t="str">
        <f ca="1">IFERROR(AK57/#REF!,"")</f>
        <v/>
      </c>
      <c r="AN57" s="1" t="str">
        <f t="shared" ca="1" si="17"/>
        <v/>
      </c>
      <c r="AQ57" s="3">
        <v>6</v>
      </c>
      <c r="AR57" s="1" t="str">
        <f ca="1">IFERROR(AVERAGEIF(WT_Dark_All[Retina],AQ57,OFFSET(WT_Dark_All[BkgrdFiringRate],0,AQ$49)),"")</f>
        <v/>
      </c>
      <c r="AS57" s="1" t="str">
        <f ca="1">IFERROR(AVERAGEIF(DTA_Dark_All[Retina],AQ57,OFFSET(DTA_Dark_All[BkgrdFiringRate],0,AQ$49)),"")</f>
        <v/>
      </c>
      <c r="AT57" s="1" t="str">
        <f ca="1">IFERROR(AR57/#REF!,"")</f>
        <v/>
      </c>
      <c r="AU57" s="1" t="str">
        <f t="shared" ca="1" si="18"/>
        <v/>
      </c>
      <c r="AX57" s="3">
        <v>6</v>
      </c>
      <c r="AY57" s="1" t="str">
        <f ca="1">IFERROR(AVERAGEIF(WT_Dark_All[Retina],AX57,OFFSET(WT_Dark_All[BkgrdFiringRate],0,AX$49)),"")</f>
        <v/>
      </c>
      <c r="AZ57" s="1" t="str">
        <f ca="1">IFERROR(AVERAGEIF(DTA_Dark_All[Retina],AX57,OFFSET(DTA_Dark_All[BkgrdFiringRate],0,AX$49)),"")</f>
        <v/>
      </c>
      <c r="BA57" s="1" t="str">
        <f ca="1">IFERROR(AY57/#REF!,"")</f>
        <v/>
      </c>
      <c r="BB57" s="1" t="str">
        <f t="shared" ca="1" si="19"/>
        <v/>
      </c>
    </row>
    <row r="58" spans="1:54" x14ac:dyDescent="0.25">
      <c r="O58" s="3">
        <v>7</v>
      </c>
      <c r="P58" s="1" t="str">
        <f ca="1">IFERROR(AVERAGEIF(WT_Dark_All[Retina],O58,OFFSET(WT_Dark_All[BkgrdFiringRate],0,O$49)),"")</f>
        <v/>
      </c>
      <c r="Q58" s="1" t="str">
        <f ca="1">IFERROR(AVERAGEIF(DTA_Dark_All[Retina],O58,OFFSET(DTA_Dark_All[BkgrdFiringRate],0,O$49)),"")</f>
        <v/>
      </c>
      <c r="R58" s="1" t="str">
        <f ca="1">IFERROR(P58/#REF!,"")</f>
        <v/>
      </c>
      <c r="S58" s="1" t="str">
        <f t="shared" ca="1" si="14"/>
        <v/>
      </c>
      <c r="V58" s="3">
        <v>7</v>
      </c>
      <c r="W58" s="1" t="str">
        <f ca="1">IFERROR(AVERAGEIF(WT_Dark_All[Retina],V58,OFFSET(WT_Dark_All[BkgrdFiringRate],0,V$49)),"")</f>
        <v/>
      </c>
      <c r="X58" s="1" t="str">
        <f ca="1">IFERROR(AVERAGEIF(DTA_Dark_All[Retina],V58,OFFSET(DTA_Dark_All[BkgrdFiringRate],0,V$49)),"")</f>
        <v/>
      </c>
      <c r="Y58" s="1" t="str">
        <f ca="1">IFERROR(W58/#REF!,"")</f>
        <v/>
      </c>
      <c r="Z58" s="1" t="str">
        <f t="shared" ca="1" si="15"/>
        <v/>
      </c>
      <c r="AC58" s="3">
        <v>7</v>
      </c>
      <c r="AD58" s="1" t="str">
        <f ca="1">IFERROR(AVERAGEIF(WT_Dark_All[Retina],AC58,OFFSET(WT_Dark_All[BkgrdFiringRate],0,AC$49)),"")</f>
        <v/>
      </c>
      <c r="AE58" s="1" t="str">
        <f ca="1">IFERROR(AVERAGEIF(DTA_Dark_All[Retina],AC58,OFFSET(DTA_Dark_All[BkgrdFiringRate],0,AC$49)),"")</f>
        <v/>
      </c>
      <c r="AF58" s="1" t="str">
        <f ca="1">IFERROR(AD58/#REF!,"")</f>
        <v/>
      </c>
      <c r="AG58" s="1" t="str">
        <f t="shared" ca="1" si="16"/>
        <v/>
      </c>
      <c r="AH58" s="18"/>
      <c r="AJ58" s="3">
        <v>7</v>
      </c>
      <c r="AK58" s="1" t="str">
        <f ca="1">IFERROR(AVERAGEIF(WT_Dark_All[Retina],AJ58,OFFSET(WT_Dark_All[BkgrdFiringRate],0,AJ$49)),"")</f>
        <v/>
      </c>
      <c r="AL58" s="1" t="str">
        <f ca="1">IFERROR(AVERAGEIF(DTA_Dark_All[Retina],AJ58,OFFSET(DTA_Dark_All[BkgrdFiringRate],0,AJ$49)),"")</f>
        <v/>
      </c>
      <c r="AM58" s="1" t="str">
        <f ca="1">IFERROR(AK58/#REF!,"")</f>
        <v/>
      </c>
      <c r="AN58" s="1" t="str">
        <f t="shared" ca="1" si="17"/>
        <v/>
      </c>
      <c r="AQ58" s="3">
        <v>7</v>
      </c>
      <c r="AR58" s="1" t="str">
        <f ca="1">IFERROR(AVERAGEIF(WT_Dark_All[Retina],AQ58,OFFSET(WT_Dark_All[BkgrdFiringRate],0,AQ$49)),"")</f>
        <v/>
      </c>
      <c r="AS58" s="1" t="str">
        <f ca="1">IFERROR(AVERAGEIF(DTA_Dark_All[Retina],AQ58,OFFSET(DTA_Dark_All[BkgrdFiringRate],0,AQ$49)),"")</f>
        <v/>
      </c>
      <c r="AT58" s="1" t="str">
        <f ca="1">IFERROR(AR58/#REF!,"")</f>
        <v/>
      </c>
      <c r="AU58" s="1" t="str">
        <f t="shared" ca="1" si="18"/>
        <v/>
      </c>
      <c r="AX58" s="3">
        <v>7</v>
      </c>
      <c r="AY58" s="1" t="str">
        <f ca="1">IFERROR(AVERAGEIF(WT_Dark_All[Retina],AX58,OFFSET(WT_Dark_All[BkgrdFiringRate],0,AX$49)),"")</f>
        <v/>
      </c>
      <c r="AZ58" s="1" t="str">
        <f ca="1">IFERROR(AVERAGEIF(DTA_Dark_All[Retina],AX58,OFFSET(DTA_Dark_All[BkgrdFiringRate],0,AX$49)),"")</f>
        <v/>
      </c>
      <c r="BA58" s="1" t="str">
        <f ca="1">IFERROR(AY58/#REF!,"")</f>
        <v/>
      </c>
      <c r="BB58" s="1" t="str">
        <f t="shared" ca="1" si="19"/>
        <v/>
      </c>
    </row>
    <row r="59" spans="1:54" x14ac:dyDescent="0.25">
      <c r="AE59" s="18"/>
      <c r="AF59" s="18"/>
      <c r="AG59" s="18"/>
      <c r="AH59" s="18"/>
    </row>
    <row r="60" spans="1:54" s="102" customFormat="1" x14ac:dyDescent="0.25">
      <c r="O60" s="10"/>
      <c r="P60" s="10"/>
      <c r="Q60" s="10"/>
      <c r="R60" s="10"/>
      <c r="S60" s="10"/>
      <c r="T60" s="10"/>
      <c r="U60" s="10"/>
      <c r="V60" s="10"/>
      <c r="AE60" s="10"/>
      <c r="AF60" s="10"/>
      <c r="AG60" s="10"/>
      <c r="AH60" s="10"/>
    </row>
    <row r="63" spans="1:54" ht="15" customHeight="1" x14ac:dyDescent="0.25">
      <c r="A63" s="105" t="s">
        <v>10</v>
      </c>
      <c r="AE63" s="18"/>
      <c r="AF63" s="18"/>
      <c r="AG63" s="18"/>
      <c r="AH63" s="18"/>
    </row>
    <row r="64" spans="1:54" x14ac:dyDescent="0.25">
      <c r="A64" s="105"/>
    </row>
    <row r="65" spans="1:34" x14ac:dyDescent="0.25">
      <c r="A65" s="105"/>
    </row>
    <row r="66" spans="1:34" x14ac:dyDescent="0.25">
      <c r="A66" s="105"/>
    </row>
    <row r="67" spans="1:34" x14ac:dyDescent="0.25">
      <c r="A67" s="105"/>
    </row>
    <row r="68" spans="1:34" x14ac:dyDescent="0.25">
      <c r="A68" s="105"/>
    </row>
    <row r="69" spans="1:34" x14ac:dyDescent="0.25">
      <c r="A69" s="105"/>
    </row>
    <row r="70" spans="1:34" x14ac:dyDescent="0.25">
      <c r="A70" s="105"/>
    </row>
    <row r="71" spans="1:34" x14ac:dyDescent="0.25">
      <c r="A71" s="105"/>
    </row>
    <row r="72" spans="1:34" x14ac:dyDescent="0.25">
      <c r="A72" s="105"/>
    </row>
    <row r="73" spans="1:34" x14ac:dyDescent="0.25">
      <c r="A73" s="105"/>
    </row>
    <row r="74" spans="1:34" x14ac:dyDescent="0.25">
      <c r="A74" s="105"/>
    </row>
    <row r="75" spans="1:34" x14ac:dyDescent="0.25">
      <c r="A75" s="105"/>
    </row>
    <row r="76" spans="1:34" x14ac:dyDescent="0.25">
      <c r="A76" s="105"/>
    </row>
    <row r="77" spans="1:34" x14ac:dyDescent="0.25">
      <c r="A77" s="105"/>
    </row>
    <row r="78" spans="1:34" x14ac:dyDescent="0.25">
      <c r="A78" s="105"/>
    </row>
    <row r="79" spans="1:34" x14ac:dyDescent="0.25">
      <c r="A79" s="105"/>
      <c r="AE79" s="18"/>
      <c r="AF79" s="18"/>
      <c r="AG79" s="18"/>
      <c r="AH79" s="18"/>
    </row>
    <row r="80" spans="1:34" x14ac:dyDescent="0.25">
      <c r="A80" s="105"/>
    </row>
    <row r="81" spans="1:47" x14ac:dyDescent="0.25">
      <c r="A81" s="105"/>
      <c r="O81" s="1">
        <v>0</v>
      </c>
      <c r="V81" s="1">
        <v>1</v>
      </c>
      <c r="AC81" s="1">
        <v>2</v>
      </c>
      <c r="AJ81" s="1">
        <v>3</v>
      </c>
      <c r="AQ81" s="1">
        <v>4</v>
      </c>
    </row>
    <row r="82" spans="1:47" ht="15.75" thickBot="1" x14ac:dyDescent="0.3">
      <c r="A82" s="105"/>
      <c r="O82" s="103" t="s">
        <v>1</v>
      </c>
      <c r="P82" s="103"/>
      <c r="Q82" s="103"/>
      <c r="R82" s="103"/>
      <c r="S82" s="103"/>
      <c r="V82" s="103" t="s">
        <v>30</v>
      </c>
      <c r="W82" s="103"/>
      <c r="X82" s="103"/>
      <c r="Y82" s="103"/>
      <c r="Z82" s="103"/>
      <c r="AC82" s="103" t="s">
        <v>36</v>
      </c>
      <c r="AD82" s="103"/>
      <c r="AE82" s="103"/>
      <c r="AF82" s="103"/>
      <c r="AG82" s="103"/>
      <c r="AJ82" s="103" t="s">
        <v>35</v>
      </c>
      <c r="AK82" s="103"/>
      <c r="AL82" s="103"/>
      <c r="AM82" s="103"/>
      <c r="AN82" s="103"/>
      <c r="AQ82" s="103" t="s">
        <v>31</v>
      </c>
      <c r="AR82" s="103"/>
      <c r="AS82" s="103"/>
      <c r="AT82" s="103"/>
      <c r="AU82" s="103"/>
    </row>
    <row r="83" spans="1:47" x14ac:dyDescent="0.25">
      <c r="A83" s="105"/>
      <c r="O83" s="3" t="s">
        <v>0</v>
      </c>
      <c r="P83" s="3" t="s">
        <v>6</v>
      </c>
      <c r="Q83" s="3" t="s">
        <v>23</v>
      </c>
      <c r="R83" s="3" t="s">
        <v>34</v>
      </c>
      <c r="S83" s="3" t="s">
        <v>32</v>
      </c>
      <c r="V83" s="3" t="s">
        <v>0</v>
      </c>
      <c r="W83" s="3" t="s">
        <v>6</v>
      </c>
      <c r="X83" s="3" t="s">
        <v>23</v>
      </c>
      <c r="Y83" s="3" t="s">
        <v>34</v>
      </c>
      <c r="Z83" s="3" t="s">
        <v>32</v>
      </c>
      <c r="AC83" s="3" t="s">
        <v>0</v>
      </c>
      <c r="AD83" s="3" t="s">
        <v>6</v>
      </c>
      <c r="AE83" s="3" t="s">
        <v>23</v>
      </c>
      <c r="AF83" s="3" t="s">
        <v>34</v>
      </c>
      <c r="AG83" s="3" t="s">
        <v>32</v>
      </c>
      <c r="AJ83" s="3" t="s">
        <v>0</v>
      </c>
      <c r="AK83" s="3" t="s">
        <v>6</v>
      </c>
      <c r="AL83" s="3" t="s">
        <v>23</v>
      </c>
      <c r="AM83" s="3" t="s">
        <v>34</v>
      </c>
      <c r="AN83" s="3" t="s">
        <v>32</v>
      </c>
      <c r="AQ83" s="3" t="s">
        <v>0</v>
      </c>
      <c r="AR83" s="3" t="s">
        <v>6</v>
      </c>
      <c r="AS83" s="3" t="s">
        <v>23</v>
      </c>
      <c r="AT83" s="3" t="s">
        <v>34</v>
      </c>
      <c r="AU83" s="3" t="s">
        <v>32</v>
      </c>
    </row>
    <row r="84" spans="1:47" x14ac:dyDescent="0.25">
      <c r="A84" s="105"/>
      <c r="O84" s="3">
        <v>1</v>
      </c>
      <c r="P84" s="1" t="str">
        <f ca="1">IFERROR(AVERAGEIF(WT_Dark_WABs[Retina],O84,OFFSET(WT_Dark_WABs[BurstDuration],0,O$81)),"")</f>
        <v/>
      </c>
      <c r="Q84" s="1" t="str">
        <f ca="1">IFERROR(AVERAGEIF(DTA_Dark_WABs[Retina],O84,OFFSET(DTA_Dark_WABs[BurstDuration],0,O$81)),"")</f>
        <v/>
      </c>
      <c r="R84" s="1" t="str">
        <f ca="1">IFERROR(P84/#REF!,"")</f>
        <v/>
      </c>
      <c r="S84" s="1" t="str">
        <f ca="1">IFERROR((Q84-P84)/P84,"")</f>
        <v/>
      </c>
      <c r="V84" s="3">
        <v>1</v>
      </c>
      <c r="W84" s="1" t="str">
        <f ca="1">IFERROR(AVERAGEIF(WT_Dark_WABs[Retina],V84,OFFSET(WT_Dark_WABs[BurstDuration],0,V$81)),"")</f>
        <v/>
      </c>
      <c r="X84" s="1" t="str">
        <f ca="1">IFERROR(AVERAGEIF(DTA_Dark_WABs[Retina],V84,OFFSET(DTA_Dark_WABs[BurstDuration],0,V$81)),"")</f>
        <v/>
      </c>
      <c r="Y84" s="1" t="str">
        <f ca="1">IFERROR(W84/#REF!,"")</f>
        <v/>
      </c>
      <c r="Z84" s="1" t="str">
        <f ca="1">IFERROR((X84-W84)/W84,"")</f>
        <v/>
      </c>
      <c r="AC84" s="3">
        <v>1</v>
      </c>
      <c r="AD84" s="1" t="str">
        <f ca="1">IFERROR(AVERAGEIF(WT_Dark_WABs[Retina],AC84,OFFSET(WT_Dark_WABs[BurstDuration],0,AC$81)),"")</f>
        <v/>
      </c>
      <c r="AE84" s="1" t="str">
        <f ca="1">IFERROR(AVERAGEIF(DTA_Dark_WABs[Retina],AC84,OFFSET(DTA_Dark_WABs[BurstDuration],0,AC$81)),"")</f>
        <v/>
      </c>
      <c r="AF84" s="1" t="str">
        <f ca="1">IFERROR(AD84/#REF!,"")</f>
        <v/>
      </c>
      <c r="AG84" s="1" t="str">
        <f ca="1">IFERROR((AE84-AD84)/AD84,"")</f>
        <v/>
      </c>
      <c r="AJ84" s="3">
        <v>1</v>
      </c>
      <c r="AK84" s="1" t="str">
        <f ca="1">IFERROR(AVERAGEIF(WT_Dark_WABs[Retina],AJ84,OFFSET(WT_Dark_WABs[BurstDuration],0,AJ$81)),"")</f>
        <v/>
      </c>
      <c r="AL84" s="1" t="str">
        <f ca="1">IFERROR(AVERAGEIF(DTA_Dark_WABs[Retina],AJ84,OFFSET(DTA_Dark_WABs[BurstDuration],0,AJ$81)),"")</f>
        <v/>
      </c>
      <c r="AM84" s="1" t="str">
        <f ca="1">IFERROR(AK84/#REF!,"")</f>
        <v/>
      </c>
      <c r="AN84" s="1" t="str">
        <f ca="1">IFERROR((AL84-AK84)/AK84,"")</f>
        <v/>
      </c>
      <c r="AQ84" s="3">
        <v>1</v>
      </c>
      <c r="AR84" s="1" t="str">
        <f ca="1">IFERROR(AVERAGEIF(WT_Dark_WABs[Retina],AQ84,OFFSET(WT_Dark_WABs[BurstDuration],0,AQ$81)),"")</f>
        <v/>
      </c>
      <c r="AS84" s="1" t="str">
        <f ca="1">IFERROR(AVERAGEIF(DTA_Dark_WABs[Retina],AQ84,OFFSET(DTA_Dark_WABs[BurstDuration],0,AQ$81)),"")</f>
        <v/>
      </c>
      <c r="AT84" s="1" t="str">
        <f ca="1">IFERROR(AR84/#REF!,"")</f>
        <v/>
      </c>
      <c r="AU84" s="1" t="str">
        <f ca="1">IFERROR((AS84-AR84)/AR84,"")</f>
        <v/>
      </c>
    </row>
    <row r="85" spans="1:47" x14ac:dyDescent="0.25">
      <c r="A85" s="105"/>
      <c r="O85" s="3">
        <v>2</v>
      </c>
      <c r="P85" s="1" t="str">
        <f ca="1">IFERROR(AVERAGEIF(WT_Dark_WABs[Retina],O85,OFFSET(WT_Dark_WABs[BurstDuration],0,O$81)),"")</f>
        <v/>
      </c>
      <c r="Q85" s="1" t="str">
        <f ca="1">IFERROR(AVERAGEIF(DTA_Dark_WABs[Retina],O85,OFFSET(DTA_Dark_WABs[BurstDuration],0,O$81)),"")</f>
        <v/>
      </c>
      <c r="R85" s="1" t="str">
        <f ca="1">IFERROR(P85/#REF!,"")</f>
        <v/>
      </c>
      <c r="S85" s="1" t="str">
        <f t="shared" ref="S85:S90" ca="1" si="20">IFERROR((Q85-P85)/P85,"")</f>
        <v/>
      </c>
      <c r="V85" s="3">
        <v>2</v>
      </c>
      <c r="W85" s="1" t="str">
        <f ca="1">IFERROR(AVERAGEIF(WT_Dark_WABs[Retina],V85,OFFSET(WT_Dark_WABs[BurstDuration],0,V$81)),"")</f>
        <v/>
      </c>
      <c r="X85" s="1" t="str">
        <f ca="1">IFERROR(AVERAGEIF(DTA_Dark_WABs[Retina],V85,OFFSET(DTA_Dark_WABs[BurstDuration],0,V$81)),"")</f>
        <v/>
      </c>
      <c r="Y85" s="1" t="str">
        <f ca="1">IFERROR(W85/#REF!,"")</f>
        <v/>
      </c>
      <c r="Z85" s="1" t="str">
        <f t="shared" ref="Z85:Z90" ca="1" si="21">IFERROR((X85-W85)/W85,"")</f>
        <v/>
      </c>
      <c r="AC85" s="3">
        <v>2</v>
      </c>
      <c r="AD85" s="1" t="str">
        <f ca="1">IFERROR(AVERAGEIF(WT_Dark_WABs[Retina],AC85,OFFSET(WT_Dark_WABs[BurstDuration],0,AC$81)),"")</f>
        <v/>
      </c>
      <c r="AE85" s="1" t="str">
        <f ca="1">IFERROR(AVERAGEIF(DTA_Dark_WABs[Retina],AC85,OFFSET(DTA_Dark_WABs[BurstDuration],0,AC$81)),"")</f>
        <v/>
      </c>
      <c r="AF85" s="1" t="str">
        <f ca="1">IFERROR(AD85/#REF!,"")</f>
        <v/>
      </c>
      <c r="AG85" s="1" t="str">
        <f t="shared" ref="AG85:AG90" ca="1" si="22">IFERROR((AE85-AD85)/AD85,"")</f>
        <v/>
      </c>
      <c r="AJ85" s="3">
        <v>2</v>
      </c>
      <c r="AK85" s="1" t="str">
        <f ca="1">IFERROR(AVERAGEIF(WT_Dark_WABs[Retina],AJ85,OFFSET(WT_Dark_WABs[BurstDuration],0,AJ$81)),"")</f>
        <v/>
      </c>
      <c r="AL85" s="1" t="str">
        <f ca="1">IFERROR(AVERAGEIF(DTA_Dark_WABs[Retina],AJ85,OFFSET(DTA_Dark_WABs[BurstDuration],0,AJ$81)),"")</f>
        <v/>
      </c>
      <c r="AM85" s="1" t="str">
        <f ca="1">IFERROR(AK85/#REF!,"")</f>
        <v/>
      </c>
      <c r="AN85" s="1" t="str">
        <f t="shared" ref="AN85:AN90" ca="1" si="23">IFERROR((AL85-AK85)/AK85,"")</f>
        <v/>
      </c>
      <c r="AQ85" s="3">
        <v>2</v>
      </c>
      <c r="AR85" s="1" t="str">
        <f ca="1">IFERROR(AVERAGEIF(WT_Dark_WABs[Retina],AQ85,OFFSET(WT_Dark_WABs[BurstDuration],0,AQ$81)),"")</f>
        <v/>
      </c>
      <c r="AS85" s="1" t="str">
        <f ca="1">IFERROR(AVERAGEIF(DTA_Dark_WABs[Retina],AQ85,OFFSET(DTA_Dark_WABs[BurstDuration],0,AQ$81)),"")</f>
        <v/>
      </c>
      <c r="AT85" s="1" t="str">
        <f ca="1">IFERROR(AR85/#REF!,"")</f>
        <v/>
      </c>
      <c r="AU85" s="1" t="str">
        <f t="shared" ref="AU85:AU90" ca="1" si="24">IFERROR((AS85-AR85)/AR85,"")</f>
        <v/>
      </c>
    </row>
    <row r="86" spans="1:47" x14ac:dyDescent="0.25">
      <c r="A86" s="105"/>
      <c r="O86" s="3">
        <v>3</v>
      </c>
      <c r="P86" s="1" t="str">
        <f ca="1">IFERROR(AVERAGEIF(WT_Dark_WABs[Retina],O86,OFFSET(WT_Dark_WABs[BurstDuration],0,O$81)),"")</f>
        <v/>
      </c>
      <c r="Q86" s="1" t="str">
        <f ca="1">IFERROR(AVERAGEIF(DTA_Dark_WABs[Retina],O86,OFFSET(DTA_Dark_WABs[BurstDuration],0,O$81)),"")</f>
        <v/>
      </c>
      <c r="R86" s="1" t="str">
        <f ca="1">IFERROR(P86/#REF!,"")</f>
        <v/>
      </c>
      <c r="S86" s="1" t="str">
        <f t="shared" ca="1" si="20"/>
        <v/>
      </c>
      <c r="V86" s="3">
        <v>3</v>
      </c>
      <c r="W86" s="1" t="str">
        <f ca="1">IFERROR(AVERAGEIF(WT_Dark_WABs[Retina],V86,OFFSET(WT_Dark_WABs[BurstDuration],0,V$81)),"")</f>
        <v/>
      </c>
      <c r="X86" s="1" t="str">
        <f ca="1">IFERROR(AVERAGEIF(DTA_Dark_WABs[Retina],V86,OFFSET(DTA_Dark_WABs[BurstDuration],0,V$81)),"")</f>
        <v/>
      </c>
      <c r="Y86" s="1" t="str">
        <f ca="1">IFERROR(W86/#REF!,"")</f>
        <v/>
      </c>
      <c r="Z86" s="1" t="str">
        <f t="shared" ca="1" si="21"/>
        <v/>
      </c>
      <c r="AC86" s="3">
        <v>3</v>
      </c>
      <c r="AD86" s="1" t="str">
        <f ca="1">IFERROR(AVERAGEIF(WT_Dark_WABs[Retina],AC86,OFFSET(WT_Dark_WABs[BurstDuration],0,AC$81)),"")</f>
        <v/>
      </c>
      <c r="AE86" s="1" t="str">
        <f ca="1">IFERROR(AVERAGEIF(DTA_Dark_WABs[Retina],AC86,OFFSET(DTA_Dark_WABs[BurstDuration],0,AC$81)),"")</f>
        <v/>
      </c>
      <c r="AF86" s="1" t="str">
        <f ca="1">IFERROR(AD86/#REF!,"")</f>
        <v/>
      </c>
      <c r="AG86" s="1" t="str">
        <f t="shared" ca="1" si="22"/>
        <v/>
      </c>
      <c r="AH86" s="18"/>
      <c r="AJ86" s="3">
        <v>3</v>
      </c>
      <c r="AK86" s="1" t="str">
        <f ca="1">IFERROR(AVERAGEIF(WT_Dark_WABs[Retina],AJ86,OFFSET(WT_Dark_WABs[BurstDuration],0,AJ$81)),"")</f>
        <v/>
      </c>
      <c r="AL86" s="1" t="str">
        <f ca="1">IFERROR(AVERAGEIF(DTA_Dark_WABs[Retina],AJ86,OFFSET(DTA_Dark_WABs[BurstDuration],0,AJ$81)),"")</f>
        <v/>
      </c>
      <c r="AM86" s="1" t="str">
        <f ca="1">IFERROR(AK86/#REF!,"")</f>
        <v/>
      </c>
      <c r="AN86" s="1" t="str">
        <f t="shared" ca="1" si="23"/>
        <v/>
      </c>
      <c r="AQ86" s="3">
        <v>3</v>
      </c>
      <c r="AR86" s="1" t="str">
        <f ca="1">IFERROR(AVERAGEIF(WT_Dark_WABs[Retina],AQ86,OFFSET(WT_Dark_WABs[BurstDuration],0,AQ$81)),"")</f>
        <v/>
      </c>
      <c r="AS86" s="1" t="str">
        <f ca="1">IFERROR(AVERAGEIF(DTA_Dark_WABs[Retina],AQ86,OFFSET(DTA_Dark_WABs[BurstDuration],0,AQ$81)),"")</f>
        <v/>
      </c>
      <c r="AT86" s="1" t="str">
        <f ca="1">IFERROR(AR86/#REF!,"")</f>
        <v/>
      </c>
      <c r="AU86" s="1" t="str">
        <f t="shared" ca="1" si="24"/>
        <v/>
      </c>
    </row>
    <row r="87" spans="1:47" x14ac:dyDescent="0.25">
      <c r="A87" s="105"/>
      <c r="O87" s="3">
        <v>4</v>
      </c>
      <c r="P87" s="1" t="str">
        <f ca="1">IFERROR(AVERAGEIF(WT_Dark_WABs[Retina],O87,OFFSET(WT_Dark_WABs[BurstDuration],0,O$81)),"")</f>
        <v/>
      </c>
      <c r="Q87" s="1" t="str">
        <f ca="1">IFERROR(AVERAGEIF(DTA_Dark_WABs[Retina],O87,OFFSET(DTA_Dark_WABs[BurstDuration],0,O$81)),"")</f>
        <v/>
      </c>
      <c r="R87" s="1" t="str">
        <f ca="1">IFERROR(P87/#REF!,"")</f>
        <v/>
      </c>
      <c r="S87" s="1" t="str">
        <f t="shared" ca="1" si="20"/>
        <v/>
      </c>
      <c r="V87" s="3">
        <v>4</v>
      </c>
      <c r="W87" s="1" t="str">
        <f ca="1">IFERROR(AVERAGEIF(WT_Dark_WABs[Retina],V87,OFFSET(WT_Dark_WABs[BurstDuration],0,V$81)),"")</f>
        <v/>
      </c>
      <c r="X87" s="1" t="str">
        <f ca="1">IFERROR(AVERAGEIF(DTA_Dark_WABs[Retina],V87,OFFSET(DTA_Dark_WABs[BurstDuration],0,V$81)),"")</f>
        <v/>
      </c>
      <c r="Y87" s="1" t="str">
        <f ca="1">IFERROR(W87/#REF!,"")</f>
        <v/>
      </c>
      <c r="Z87" s="1" t="str">
        <f t="shared" ca="1" si="21"/>
        <v/>
      </c>
      <c r="AC87" s="3">
        <v>4</v>
      </c>
      <c r="AD87" s="1" t="str">
        <f ca="1">IFERROR(AVERAGEIF(WT_Dark_WABs[Retina],AC87,OFFSET(WT_Dark_WABs[BurstDuration],0,AC$81)),"")</f>
        <v/>
      </c>
      <c r="AE87" s="1" t="str">
        <f ca="1">IFERROR(AVERAGEIF(DTA_Dark_WABs[Retina],AC87,OFFSET(DTA_Dark_WABs[BurstDuration],0,AC$81)),"")</f>
        <v/>
      </c>
      <c r="AF87" s="1" t="str">
        <f ca="1">IFERROR(AD87/#REF!,"")</f>
        <v/>
      </c>
      <c r="AG87" s="1" t="str">
        <f t="shared" ca="1" si="22"/>
        <v/>
      </c>
      <c r="AJ87" s="3">
        <v>4</v>
      </c>
      <c r="AK87" s="1" t="str">
        <f ca="1">IFERROR(AVERAGEIF(WT_Dark_WABs[Retina],AJ87,OFFSET(WT_Dark_WABs[BurstDuration],0,AJ$81)),"")</f>
        <v/>
      </c>
      <c r="AL87" s="1" t="str">
        <f ca="1">IFERROR(AVERAGEIF(DTA_Dark_WABs[Retina],AJ87,OFFSET(DTA_Dark_WABs[BurstDuration],0,AJ$81)),"")</f>
        <v/>
      </c>
      <c r="AM87" s="1" t="str">
        <f ca="1">IFERROR(AK87/#REF!,"")</f>
        <v/>
      </c>
      <c r="AN87" s="1" t="str">
        <f t="shared" ca="1" si="23"/>
        <v/>
      </c>
      <c r="AQ87" s="3">
        <v>4</v>
      </c>
      <c r="AR87" s="1" t="str">
        <f ca="1">IFERROR(AVERAGEIF(WT_Dark_WABs[Retina],AQ87,OFFSET(WT_Dark_WABs[BurstDuration],0,AQ$81)),"")</f>
        <v/>
      </c>
      <c r="AS87" s="1" t="str">
        <f ca="1">IFERROR(AVERAGEIF(DTA_Dark_WABs[Retina],AQ87,OFFSET(DTA_Dark_WABs[BurstDuration],0,AQ$81)),"")</f>
        <v/>
      </c>
      <c r="AT87" s="1" t="str">
        <f ca="1">IFERROR(AR87/#REF!,"")</f>
        <v/>
      </c>
      <c r="AU87" s="1" t="str">
        <f t="shared" ca="1" si="24"/>
        <v/>
      </c>
    </row>
    <row r="88" spans="1:47" x14ac:dyDescent="0.25">
      <c r="A88" s="105"/>
      <c r="O88" s="3">
        <v>5</v>
      </c>
      <c r="P88" s="1" t="str">
        <f ca="1">IFERROR(AVERAGEIF(WT_Dark_WABs[Retina],O88,OFFSET(WT_Dark_WABs[BurstDuration],0,O$81)),"")</f>
        <v/>
      </c>
      <c r="Q88" s="1" t="str">
        <f ca="1">IFERROR(AVERAGEIF(DTA_Dark_WABs[Retina],O88,OFFSET(DTA_Dark_WABs[BurstDuration],0,O$81)),"")</f>
        <v/>
      </c>
      <c r="R88" s="1" t="str">
        <f ca="1">IFERROR(P88/#REF!,"")</f>
        <v/>
      </c>
      <c r="S88" s="1" t="str">
        <f t="shared" ca="1" si="20"/>
        <v/>
      </c>
      <c r="V88" s="3">
        <v>5</v>
      </c>
      <c r="W88" s="1" t="str">
        <f ca="1">IFERROR(AVERAGEIF(WT_Dark_WABs[Retina],V88,OFFSET(WT_Dark_WABs[BurstDuration],0,V$81)),"")</f>
        <v/>
      </c>
      <c r="X88" s="1" t="str">
        <f ca="1">IFERROR(AVERAGEIF(DTA_Dark_WABs[Retina],V88,OFFSET(DTA_Dark_WABs[BurstDuration],0,V$81)),"")</f>
        <v/>
      </c>
      <c r="Y88" s="1" t="str">
        <f ca="1">IFERROR(W88/#REF!,"")</f>
        <v/>
      </c>
      <c r="Z88" s="1" t="str">
        <f t="shared" ca="1" si="21"/>
        <v/>
      </c>
      <c r="AC88" s="3">
        <v>5</v>
      </c>
      <c r="AD88" s="1" t="str">
        <f ca="1">IFERROR(AVERAGEIF(WT_Dark_WABs[Retina],AC88,OFFSET(WT_Dark_WABs[BurstDuration],0,AC$81)),"")</f>
        <v/>
      </c>
      <c r="AE88" s="1" t="str">
        <f ca="1">IFERROR(AVERAGEIF(DTA_Dark_WABs[Retina],AC88,OFFSET(DTA_Dark_WABs[BurstDuration],0,AC$81)),"")</f>
        <v/>
      </c>
      <c r="AF88" s="1" t="str">
        <f ca="1">IFERROR(AD88/#REF!,"")</f>
        <v/>
      </c>
      <c r="AG88" s="1" t="str">
        <f t="shared" ca="1" si="22"/>
        <v/>
      </c>
      <c r="AJ88" s="3">
        <v>5</v>
      </c>
      <c r="AK88" s="1" t="str">
        <f ca="1">IFERROR(AVERAGEIF(WT_Dark_WABs[Retina],AJ88,OFFSET(WT_Dark_WABs[BurstDuration],0,AJ$81)),"")</f>
        <v/>
      </c>
      <c r="AL88" s="1" t="str">
        <f ca="1">IFERROR(AVERAGEIF(DTA_Dark_WABs[Retina],AJ88,OFFSET(DTA_Dark_WABs[BurstDuration],0,AJ$81)),"")</f>
        <v/>
      </c>
      <c r="AM88" s="1" t="str">
        <f ca="1">IFERROR(AK88/#REF!,"")</f>
        <v/>
      </c>
      <c r="AN88" s="1" t="str">
        <f t="shared" ca="1" si="23"/>
        <v/>
      </c>
      <c r="AQ88" s="3">
        <v>5</v>
      </c>
      <c r="AR88" s="1" t="str">
        <f ca="1">IFERROR(AVERAGEIF(WT_Dark_WABs[Retina],AQ88,OFFSET(WT_Dark_WABs[BurstDuration],0,AQ$81)),"")</f>
        <v/>
      </c>
      <c r="AS88" s="1" t="str">
        <f ca="1">IFERROR(AVERAGEIF(DTA_Dark_WABs[Retina],AQ88,OFFSET(DTA_Dark_WABs[BurstDuration],0,AQ$81)),"")</f>
        <v/>
      </c>
      <c r="AT88" s="1" t="str">
        <f ca="1">IFERROR(AR88/#REF!,"")</f>
        <v/>
      </c>
      <c r="AU88" s="1" t="str">
        <f t="shared" ca="1" si="24"/>
        <v/>
      </c>
    </row>
    <row r="89" spans="1:47" x14ac:dyDescent="0.25">
      <c r="A89" s="105"/>
      <c r="O89" s="3">
        <v>6</v>
      </c>
      <c r="P89" s="1" t="str">
        <f ca="1">IFERROR(AVERAGEIF(WT_Dark_WABs[Retina],O89,OFFSET(WT_Dark_WABs[BurstDuration],0,O$81)),"")</f>
        <v/>
      </c>
      <c r="Q89" s="1" t="str">
        <f ca="1">IFERROR(AVERAGEIF(DTA_Dark_WABs[Retina],O89,OFFSET(DTA_Dark_WABs[BurstDuration],0,O$81)),"")</f>
        <v/>
      </c>
      <c r="R89" s="1" t="str">
        <f ca="1">IFERROR(P89/#REF!,"")</f>
        <v/>
      </c>
      <c r="S89" s="1" t="str">
        <f t="shared" ca="1" si="20"/>
        <v/>
      </c>
      <c r="V89" s="3">
        <v>6</v>
      </c>
      <c r="W89" s="1" t="str">
        <f ca="1">IFERROR(AVERAGEIF(WT_Dark_WABs[Retina],V89,OFFSET(WT_Dark_WABs[BurstDuration],0,V$81)),"")</f>
        <v/>
      </c>
      <c r="X89" s="1" t="str">
        <f ca="1">IFERROR(AVERAGEIF(DTA_Dark_WABs[Retina],V89,OFFSET(DTA_Dark_WABs[BurstDuration],0,V$81)),"")</f>
        <v/>
      </c>
      <c r="Y89" s="1" t="str">
        <f ca="1">IFERROR(W89/#REF!,"")</f>
        <v/>
      </c>
      <c r="Z89" s="1" t="str">
        <f t="shared" ca="1" si="21"/>
        <v/>
      </c>
      <c r="AC89" s="3">
        <v>6</v>
      </c>
      <c r="AD89" s="1" t="str">
        <f ca="1">IFERROR(AVERAGEIF(WT_Dark_WABs[Retina],AC89,OFFSET(WT_Dark_WABs[BurstDuration],0,AC$81)),"")</f>
        <v/>
      </c>
      <c r="AE89" s="1" t="str">
        <f ca="1">IFERROR(AVERAGEIF(DTA_Dark_WABs[Retina],AC89,OFFSET(DTA_Dark_WABs[BurstDuration],0,AC$81)),"")</f>
        <v/>
      </c>
      <c r="AF89" s="1" t="str">
        <f ca="1">IFERROR(AD89/#REF!,"")</f>
        <v/>
      </c>
      <c r="AG89" s="1" t="str">
        <f t="shared" ca="1" si="22"/>
        <v/>
      </c>
      <c r="AJ89" s="3">
        <v>6</v>
      </c>
      <c r="AK89" s="1" t="str">
        <f ca="1">IFERROR(AVERAGEIF(WT_Dark_WABs[Retina],AJ89,OFFSET(WT_Dark_WABs[BurstDuration],0,AJ$81)),"")</f>
        <v/>
      </c>
      <c r="AL89" s="1" t="str">
        <f ca="1">IFERROR(AVERAGEIF(DTA_Dark_WABs[Retina],AJ89,OFFSET(DTA_Dark_WABs[BurstDuration],0,AJ$81)),"")</f>
        <v/>
      </c>
      <c r="AM89" s="1" t="str">
        <f ca="1">IFERROR(AK89/#REF!,"")</f>
        <v/>
      </c>
      <c r="AN89" s="1" t="str">
        <f t="shared" ca="1" si="23"/>
        <v/>
      </c>
      <c r="AQ89" s="3">
        <v>6</v>
      </c>
      <c r="AR89" s="1" t="str">
        <f ca="1">IFERROR(AVERAGEIF(WT_Dark_WABs[Retina],AQ89,OFFSET(WT_Dark_WABs[BurstDuration],0,AQ$81)),"")</f>
        <v/>
      </c>
      <c r="AS89" s="1" t="str">
        <f ca="1">IFERROR(AVERAGEIF(DTA_Dark_WABs[Retina],AQ89,OFFSET(DTA_Dark_WABs[BurstDuration],0,AQ$81)),"")</f>
        <v/>
      </c>
      <c r="AT89" s="1" t="str">
        <f ca="1">IFERROR(AR89/#REF!,"")</f>
        <v/>
      </c>
      <c r="AU89" s="1" t="str">
        <f t="shared" ca="1" si="24"/>
        <v/>
      </c>
    </row>
    <row r="90" spans="1:47" x14ac:dyDescent="0.25">
      <c r="O90" s="3">
        <v>7</v>
      </c>
      <c r="P90" s="1" t="str">
        <f ca="1">IFERROR(AVERAGEIF(WT_Dark_WABs[Retina],O90,OFFSET(WT_Dark_WABs[BurstDuration],0,O$81)),"")</f>
        <v/>
      </c>
      <c r="Q90" s="1" t="str">
        <f ca="1">IFERROR(AVERAGEIF(DTA_Dark_WABs[Retina],O90,OFFSET(DTA_Dark_WABs[BurstDuration],0,O$81)),"")</f>
        <v/>
      </c>
      <c r="R90" s="1" t="str">
        <f ca="1">IFERROR(P90/#REF!,"")</f>
        <v/>
      </c>
      <c r="S90" s="1" t="str">
        <f t="shared" ca="1" si="20"/>
        <v/>
      </c>
      <c r="V90" s="3">
        <v>7</v>
      </c>
      <c r="W90" s="1" t="str">
        <f ca="1">IFERROR(AVERAGEIF(WT_Dark_WABs[Retina],V90,OFFSET(WT_Dark_WABs[BurstDuration],0,V$81)),"")</f>
        <v/>
      </c>
      <c r="X90" s="1" t="str">
        <f ca="1">IFERROR(AVERAGEIF(DTA_Dark_WABs[Retina],V90,OFFSET(DTA_Dark_WABs[BurstDuration],0,V$81)),"")</f>
        <v/>
      </c>
      <c r="Y90" s="1" t="str">
        <f ca="1">IFERROR(W90/#REF!,"")</f>
        <v/>
      </c>
      <c r="Z90" s="1" t="str">
        <f t="shared" ca="1" si="21"/>
        <v/>
      </c>
      <c r="AC90" s="3">
        <v>7</v>
      </c>
      <c r="AD90" s="1" t="str">
        <f ca="1">IFERROR(AVERAGEIF(WT_Dark_WABs[Retina],AC90,OFFSET(WT_Dark_WABs[BurstDuration],0,AC$81)),"")</f>
        <v/>
      </c>
      <c r="AE90" s="1" t="str">
        <f ca="1">IFERROR(AVERAGEIF(DTA_Dark_WABs[Retina],AC90,OFFSET(DTA_Dark_WABs[BurstDuration],0,AC$81)),"")</f>
        <v/>
      </c>
      <c r="AF90" s="1" t="str">
        <f ca="1">IFERROR(AD90/#REF!,"")</f>
        <v/>
      </c>
      <c r="AG90" s="1" t="str">
        <f t="shared" ca="1" si="22"/>
        <v/>
      </c>
      <c r="AJ90" s="3">
        <v>7</v>
      </c>
      <c r="AK90" s="1" t="str">
        <f ca="1">IFERROR(AVERAGEIF(WT_Dark_WABs[Retina],AJ90,OFFSET(WT_Dark_WABs[BurstDuration],0,AJ$81)),"")</f>
        <v/>
      </c>
      <c r="AL90" s="1" t="str">
        <f ca="1">IFERROR(AVERAGEIF(DTA_Dark_WABs[Retina],AJ90,OFFSET(DTA_Dark_WABs[BurstDuration],0,AJ$81)),"")</f>
        <v/>
      </c>
      <c r="AM90" s="1" t="str">
        <f ca="1">IFERROR(AK90/#REF!,"")</f>
        <v/>
      </c>
      <c r="AN90" s="1" t="str">
        <f t="shared" ca="1" si="23"/>
        <v/>
      </c>
      <c r="AQ90" s="3">
        <v>7</v>
      </c>
      <c r="AR90" s="1" t="str">
        <f ca="1">IFERROR(AVERAGEIF(WT_Dark_WABs[Retina],AQ90,OFFSET(WT_Dark_WABs[BurstDuration],0,AQ$81)),"")</f>
        <v/>
      </c>
      <c r="AS90" s="1" t="str">
        <f ca="1">IFERROR(AVERAGEIF(DTA_Dark_WABs[Retina],AQ90,OFFSET(DTA_Dark_WABs[BurstDuration],0,AQ$81)),"")</f>
        <v/>
      </c>
      <c r="AT90" s="1" t="str">
        <f ca="1">IFERROR(AR90/#REF!,"")</f>
        <v/>
      </c>
      <c r="AU90" s="1" t="str">
        <f t="shared" ca="1" si="24"/>
        <v/>
      </c>
    </row>
    <row r="92" spans="1:47" s="102" customFormat="1" x14ac:dyDescent="0.25">
      <c r="O92" s="10"/>
      <c r="P92" s="10"/>
      <c r="Q92" s="10"/>
      <c r="R92" s="10"/>
      <c r="S92" s="10"/>
      <c r="T92" s="10"/>
      <c r="U92" s="10"/>
      <c r="V92" s="10"/>
      <c r="AE92" s="10"/>
      <c r="AF92" s="10"/>
      <c r="AG92" s="10"/>
      <c r="AH92" s="10"/>
    </row>
    <row r="95" spans="1:47" ht="15" customHeight="1" x14ac:dyDescent="0.25">
      <c r="A95" s="106" t="s">
        <v>13</v>
      </c>
      <c r="AE95" s="18"/>
      <c r="AF95" s="18"/>
      <c r="AG95" s="18"/>
      <c r="AH95" s="18"/>
    </row>
    <row r="96" spans="1:47" x14ac:dyDescent="0.25">
      <c r="A96" s="106"/>
    </row>
    <row r="97" spans="1:34" x14ac:dyDescent="0.25">
      <c r="A97" s="106"/>
    </row>
    <row r="98" spans="1:34" x14ac:dyDescent="0.25">
      <c r="A98" s="106"/>
    </row>
    <row r="99" spans="1:34" x14ac:dyDescent="0.25">
      <c r="A99" s="106"/>
    </row>
    <row r="100" spans="1:34" x14ac:dyDescent="0.25">
      <c r="A100" s="106"/>
    </row>
    <row r="101" spans="1:34" x14ac:dyDescent="0.25">
      <c r="A101" s="106"/>
    </row>
    <row r="102" spans="1:34" x14ac:dyDescent="0.25">
      <c r="A102" s="106"/>
    </row>
    <row r="103" spans="1:34" x14ac:dyDescent="0.25">
      <c r="A103" s="106"/>
    </row>
    <row r="104" spans="1:34" x14ac:dyDescent="0.25">
      <c r="A104" s="106"/>
    </row>
    <row r="105" spans="1:34" x14ac:dyDescent="0.25">
      <c r="A105" s="106"/>
    </row>
    <row r="106" spans="1:34" x14ac:dyDescent="0.25">
      <c r="A106" s="106"/>
    </row>
    <row r="107" spans="1:34" x14ac:dyDescent="0.25">
      <c r="A107" s="106"/>
    </row>
    <row r="108" spans="1:34" x14ac:dyDescent="0.25">
      <c r="A108" s="106"/>
    </row>
    <row r="109" spans="1:34" x14ac:dyDescent="0.25">
      <c r="A109" s="106"/>
    </row>
    <row r="110" spans="1:34" x14ac:dyDescent="0.25">
      <c r="A110" s="106"/>
    </row>
    <row r="111" spans="1:34" x14ac:dyDescent="0.25">
      <c r="A111" s="106"/>
      <c r="AE111" s="18"/>
      <c r="AF111" s="18"/>
      <c r="AG111" s="18"/>
      <c r="AH111" s="18"/>
    </row>
    <row r="112" spans="1:34" x14ac:dyDescent="0.25">
      <c r="A112" s="106"/>
    </row>
    <row r="113" spans="1:47" x14ac:dyDescent="0.25">
      <c r="A113" s="106"/>
      <c r="O113" s="1">
        <v>0</v>
      </c>
      <c r="V113" s="1">
        <v>1</v>
      </c>
      <c r="AC113" s="1">
        <v>2</v>
      </c>
      <c r="AJ113" s="1">
        <v>3</v>
      </c>
      <c r="AQ113" s="1">
        <v>4</v>
      </c>
    </row>
    <row r="114" spans="1:47" ht="15.75" thickBot="1" x14ac:dyDescent="0.3">
      <c r="A114" s="106"/>
      <c r="O114" s="103" t="s">
        <v>27</v>
      </c>
      <c r="P114" s="103"/>
      <c r="Q114" s="103"/>
      <c r="R114" s="103"/>
      <c r="S114" s="103"/>
      <c r="V114" s="103" t="s">
        <v>28</v>
      </c>
      <c r="W114" s="103"/>
      <c r="X114" s="103"/>
      <c r="Y114" s="103"/>
      <c r="Z114" s="103"/>
      <c r="AC114" s="103" t="s">
        <v>37</v>
      </c>
      <c r="AD114" s="103"/>
      <c r="AE114" s="103"/>
      <c r="AF114" s="103"/>
      <c r="AG114" s="103"/>
      <c r="AJ114" s="103" t="s">
        <v>38</v>
      </c>
      <c r="AK114" s="103"/>
      <c r="AL114" s="103"/>
      <c r="AM114" s="103"/>
      <c r="AN114" s="103"/>
      <c r="AQ114" s="103" t="s">
        <v>29</v>
      </c>
      <c r="AR114" s="103"/>
      <c r="AS114" s="103"/>
      <c r="AT114" s="103"/>
      <c r="AU114" s="103"/>
    </row>
    <row r="115" spans="1:47" x14ac:dyDescent="0.25">
      <c r="A115" s="106"/>
      <c r="O115" s="3" t="s">
        <v>0</v>
      </c>
      <c r="P115" s="3" t="s">
        <v>6</v>
      </c>
      <c r="Q115" s="3" t="s">
        <v>23</v>
      </c>
      <c r="R115" s="3" t="s">
        <v>34</v>
      </c>
      <c r="S115" s="3" t="s">
        <v>32</v>
      </c>
      <c r="V115" s="3" t="s">
        <v>0</v>
      </c>
      <c r="W115" s="3" t="s">
        <v>6</v>
      </c>
      <c r="X115" s="3" t="s">
        <v>23</v>
      </c>
      <c r="Y115" s="3" t="s">
        <v>34</v>
      </c>
      <c r="Z115" s="3" t="s">
        <v>32</v>
      </c>
      <c r="AC115" s="3" t="s">
        <v>0</v>
      </c>
      <c r="AD115" s="3" t="s">
        <v>6</v>
      </c>
      <c r="AE115" s="3" t="s">
        <v>23</v>
      </c>
      <c r="AF115" s="3" t="s">
        <v>34</v>
      </c>
      <c r="AG115" s="3" t="s">
        <v>32</v>
      </c>
      <c r="AJ115" s="3" t="s">
        <v>0</v>
      </c>
      <c r="AK115" s="3" t="s">
        <v>6</v>
      </c>
      <c r="AL115" s="3" t="s">
        <v>23</v>
      </c>
      <c r="AM115" s="3" t="s">
        <v>34</v>
      </c>
      <c r="AN115" s="3" t="s">
        <v>32</v>
      </c>
      <c r="AQ115" s="3" t="s">
        <v>0</v>
      </c>
      <c r="AR115" s="3" t="s">
        <v>6</v>
      </c>
      <c r="AS115" s="3" t="s">
        <v>23</v>
      </c>
      <c r="AT115" s="3" t="s">
        <v>34</v>
      </c>
      <c r="AU115" s="3" t="s">
        <v>32</v>
      </c>
    </row>
    <row r="116" spans="1:47" x14ac:dyDescent="0.25">
      <c r="A116" s="106"/>
      <c r="O116" s="3">
        <v>1</v>
      </c>
      <c r="P116" s="1" t="str">
        <f ca="1">IFERROR(AVERAGEIF(WT_Dark_NonWABs[Retina],O116,OFFSET(WT_Dark_NonWABs[BurstDuration],0,O$113)),"")</f>
        <v/>
      </c>
      <c r="Q116" s="1" t="str">
        <f ca="1">IFERROR(AVERAGEIF(DTA_Dark_NonWABs[Retina],O116,OFFSET(DTA_Dark_NonWABs[BurstDuration],0,O$113)),"")</f>
        <v/>
      </c>
      <c r="R116" s="1" t="str">
        <f ca="1">IFERROR(P116/#REF!,"")</f>
        <v/>
      </c>
      <c r="S116" s="1" t="str">
        <f ca="1">IFERROR((Q116-P116)/P116,"")</f>
        <v/>
      </c>
      <c r="V116" s="3">
        <v>1</v>
      </c>
      <c r="W116" s="1" t="str">
        <f ca="1">IFERROR(AVERAGEIF(WT_Dark_NonWABs[Retina],V116,OFFSET(WT_Dark_NonWABs[BurstDuration],0,V$113)),"")</f>
        <v/>
      </c>
      <c r="X116" s="1" t="str">
        <f ca="1">IFERROR(AVERAGEIF(DTA_Dark_NonWABs[Retina],V116,OFFSET(DTA_Dark_NonWABs[BurstDuration],0,V$113)),"")</f>
        <v/>
      </c>
      <c r="Y116" s="1" t="str">
        <f ca="1">IFERROR(W116/#REF!,"")</f>
        <v/>
      </c>
      <c r="Z116" s="1" t="str">
        <f ca="1">IFERROR((X116-W116)/W116,"")</f>
        <v/>
      </c>
      <c r="AC116" s="3">
        <v>1</v>
      </c>
      <c r="AD116" s="1" t="str">
        <f ca="1">IFERROR(AVERAGEIF(WT_Dark_NonWABs[Retina],AC116,OFFSET(WT_Dark_NonWABs[BurstDuration],0,AC$113)),"")</f>
        <v/>
      </c>
      <c r="AE116" s="1" t="str">
        <f ca="1">IFERROR(AVERAGEIF(DTA_Dark_NonWABs[Retina],AC116,OFFSET(DTA_Dark_NonWABs[BurstDuration],0,AC$113)),"")</f>
        <v/>
      </c>
      <c r="AF116" s="1" t="str">
        <f ca="1">IFERROR(AD116/#REF!,"")</f>
        <v/>
      </c>
      <c r="AG116" s="1" t="str">
        <f ca="1">IFERROR((AE116-AD116)/AD116,"")</f>
        <v/>
      </c>
      <c r="AJ116" s="3">
        <v>1</v>
      </c>
      <c r="AK116" s="1" t="str">
        <f ca="1">IFERROR(AVERAGEIF(WT_Dark_NonWABs[Retina],AJ116,OFFSET(WT_Dark_NonWABs[BurstDuration],0,AJ$113)),"")</f>
        <v/>
      </c>
      <c r="AL116" s="1" t="str">
        <f ca="1">IFERROR(AVERAGEIF(DTA_Dark_NonWABs[Retina],AJ116,OFFSET(DTA_Dark_NonWABs[BurstDuration],0,AJ$113)),"")</f>
        <v/>
      </c>
      <c r="AM116" s="1" t="str">
        <f ca="1">IFERROR(AK116/#REF!,"")</f>
        <v/>
      </c>
      <c r="AN116" s="1" t="str">
        <f ca="1">IFERROR((AL116-AK116)/AK116,"")</f>
        <v/>
      </c>
      <c r="AQ116" s="3">
        <v>1</v>
      </c>
      <c r="AR116" s="1" t="str">
        <f ca="1">IFERROR(AVERAGEIF(WT_Dark_NonWABs[Retina],AQ116,OFFSET(WT_Dark_NonWABs[BurstDuration],0,AQ$113)),"")</f>
        <v/>
      </c>
      <c r="AS116" s="1" t="str">
        <f ca="1">IFERROR(AVERAGEIF(DTA_Dark_NonWABs[Retina],AQ116,OFFSET(DTA_Dark_NonWABs[BurstDuration],0,AQ$113)),"")</f>
        <v/>
      </c>
      <c r="AT116" s="1" t="str">
        <f ca="1">IFERROR(AR116/#REF!,"")</f>
        <v/>
      </c>
      <c r="AU116" s="1" t="str">
        <f ca="1">IFERROR((AS116-AR116)/AR116,"")</f>
        <v/>
      </c>
    </row>
    <row r="117" spans="1:47" x14ac:dyDescent="0.25">
      <c r="A117" s="106"/>
      <c r="O117" s="3">
        <v>2</v>
      </c>
      <c r="P117" s="1" t="str">
        <f ca="1">IFERROR(AVERAGEIF(WT_Dark_NonWABs[Retina],O117,OFFSET(WT_Dark_NonWABs[BurstDuration],0,O$113)),"")</f>
        <v/>
      </c>
      <c r="Q117" s="1" t="str">
        <f ca="1">IFERROR(AVERAGEIF(DTA_Dark_NonWABs[Retina],O117,OFFSET(DTA_Dark_NonWABs[BurstDuration],0,O$113)),"")</f>
        <v/>
      </c>
      <c r="R117" s="1" t="str">
        <f ca="1">IFERROR(P117/#REF!,"")</f>
        <v/>
      </c>
      <c r="S117" s="1" t="str">
        <f t="shared" ref="S117:S122" ca="1" si="25">IFERROR((Q117-P117)/P117,"")</f>
        <v/>
      </c>
      <c r="V117" s="3">
        <v>2</v>
      </c>
      <c r="W117" s="1" t="str">
        <f ca="1">IFERROR(AVERAGEIF(WT_Dark_NonWABs[Retina],V117,OFFSET(WT_Dark_NonWABs[BurstDuration],0,V$113)),"")</f>
        <v/>
      </c>
      <c r="X117" s="1" t="str">
        <f ca="1">IFERROR(AVERAGEIF(DTA_Dark_NonWABs[Retina],V117,OFFSET(DTA_Dark_NonWABs[BurstDuration],0,V$113)),"")</f>
        <v/>
      </c>
      <c r="Y117" s="1" t="str">
        <f ca="1">IFERROR(W117/#REF!,"")</f>
        <v/>
      </c>
      <c r="Z117" s="1" t="str">
        <f t="shared" ref="Z117:Z122" ca="1" si="26">IFERROR((X117-W117)/W117,"")</f>
        <v/>
      </c>
      <c r="AC117" s="3">
        <v>2</v>
      </c>
      <c r="AD117" s="1" t="str">
        <f ca="1">IFERROR(AVERAGEIF(WT_Dark_NonWABs[Retina],AC117,OFFSET(WT_Dark_NonWABs[BurstDuration],0,AC$113)),"")</f>
        <v/>
      </c>
      <c r="AE117" s="1" t="str">
        <f ca="1">IFERROR(AVERAGEIF(DTA_Dark_NonWABs[Retina],AC117,OFFSET(DTA_Dark_NonWABs[BurstDuration],0,AC$113)),"")</f>
        <v/>
      </c>
      <c r="AF117" s="1" t="str">
        <f ca="1">IFERROR(AD117/#REF!,"")</f>
        <v/>
      </c>
      <c r="AG117" s="1" t="str">
        <f t="shared" ref="AG117:AG122" ca="1" si="27">IFERROR((AE117-AD117)/AD117,"")</f>
        <v/>
      </c>
      <c r="AJ117" s="3">
        <v>2</v>
      </c>
      <c r="AK117" s="1" t="str">
        <f ca="1">IFERROR(AVERAGEIF(WT_Dark_NonWABs[Retina],AJ117,OFFSET(WT_Dark_NonWABs[BurstDuration],0,AJ$113)),"")</f>
        <v/>
      </c>
      <c r="AL117" s="1" t="str">
        <f ca="1">IFERROR(AVERAGEIF(DTA_Dark_NonWABs[Retina],AJ117,OFFSET(DTA_Dark_NonWABs[BurstDuration],0,AJ$113)),"")</f>
        <v/>
      </c>
      <c r="AM117" s="1" t="str">
        <f ca="1">IFERROR(AK117/#REF!,"")</f>
        <v/>
      </c>
      <c r="AN117" s="1" t="str">
        <f t="shared" ref="AN117:AN122" ca="1" si="28">IFERROR((AL117-AK117)/AK117,"")</f>
        <v/>
      </c>
      <c r="AQ117" s="3">
        <v>2</v>
      </c>
      <c r="AR117" s="1" t="str">
        <f ca="1">IFERROR(AVERAGEIF(WT_Dark_NonWABs[Retina],AQ117,OFFSET(WT_Dark_NonWABs[BurstDuration],0,AQ$113)),"")</f>
        <v/>
      </c>
      <c r="AS117" s="1" t="str">
        <f ca="1">IFERROR(AVERAGEIF(DTA_Dark_NonWABs[Retina],AQ117,OFFSET(DTA_Dark_NonWABs[BurstDuration],0,AQ$113)),"")</f>
        <v/>
      </c>
      <c r="AT117" s="1" t="str">
        <f ca="1">IFERROR(AR117/#REF!,"")</f>
        <v/>
      </c>
      <c r="AU117" s="1" t="str">
        <f t="shared" ref="AU117:AU122" ca="1" si="29">IFERROR((AS117-AR117)/AR117,"")</f>
        <v/>
      </c>
    </row>
    <row r="118" spans="1:47" x14ac:dyDescent="0.25">
      <c r="A118" s="106"/>
      <c r="O118" s="3">
        <v>3</v>
      </c>
      <c r="P118" s="1" t="str">
        <f ca="1">IFERROR(AVERAGEIF(WT_Dark_NonWABs[Retina],O118,OFFSET(WT_Dark_NonWABs[BurstDuration],0,O$113)),"")</f>
        <v/>
      </c>
      <c r="Q118" s="1" t="str">
        <f ca="1">IFERROR(AVERAGEIF(DTA_Dark_NonWABs[Retina],O118,OFFSET(DTA_Dark_NonWABs[BurstDuration],0,O$113)),"")</f>
        <v/>
      </c>
      <c r="R118" s="1" t="str">
        <f ca="1">IFERROR(P118/#REF!,"")</f>
        <v/>
      </c>
      <c r="S118" s="1" t="str">
        <f t="shared" ca="1" si="25"/>
        <v/>
      </c>
      <c r="V118" s="3">
        <v>3</v>
      </c>
      <c r="W118" s="1" t="str">
        <f ca="1">IFERROR(AVERAGEIF(WT_Dark_NonWABs[Retina],V118,OFFSET(WT_Dark_NonWABs[BurstDuration],0,V$113)),"")</f>
        <v/>
      </c>
      <c r="X118" s="1" t="str">
        <f ca="1">IFERROR(AVERAGEIF(DTA_Dark_NonWABs[Retina],V118,OFFSET(DTA_Dark_NonWABs[BurstDuration],0,V$113)),"")</f>
        <v/>
      </c>
      <c r="Y118" s="1" t="str">
        <f ca="1">IFERROR(W118/#REF!,"")</f>
        <v/>
      </c>
      <c r="Z118" s="1" t="str">
        <f t="shared" ca="1" si="26"/>
        <v/>
      </c>
      <c r="AC118" s="3">
        <v>3</v>
      </c>
      <c r="AD118" s="1" t="str">
        <f ca="1">IFERROR(AVERAGEIF(WT_Dark_NonWABs[Retina],AC118,OFFSET(WT_Dark_NonWABs[BurstDuration],0,AC$113)),"")</f>
        <v/>
      </c>
      <c r="AE118" s="1" t="str">
        <f ca="1">IFERROR(AVERAGEIF(DTA_Dark_NonWABs[Retina],AC118,OFFSET(DTA_Dark_NonWABs[BurstDuration],0,AC$113)),"")</f>
        <v/>
      </c>
      <c r="AF118" s="1" t="str">
        <f ca="1">IFERROR(AD118/#REF!,"")</f>
        <v/>
      </c>
      <c r="AG118" s="1" t="str">
        <f t="shared" ca="1" si="27"/>
        <v/>
      </c>
      <c r="AH118" s="18"/>
      <c r="AJ118" s="3">
        <v>3</v>
      </c>
      <c r="AK118" s="1" t="str">
        <f ca="1">IFERROR(AVERAGEIF(WT_Dark_NonWABs[Retina],AJ118,OFFSET(WT_Dark_NonWABs[BurstDuration],0,AJ$113)),"")</f>
        <v/>
      </c>
      <c r="AL118" s="1" t="str">
        <f ca="1">IFERROR(AVERAGEIF(DTA_Dark_NonWABs[Retina],AJ118,OFFSET(DTA_Dark_NonWABs[BurstDuration],0,AJ$113)),"")</f>
        <v/>
      </c>
      <c r="AM118" s="1" t="str">
        <f ca="1">IFERROR(AK118/#REF!,"")</f>
        <v/>
      </c>
      <c r="AN118" s="1" t="str">
        <f t="shared" ca="1" si="28"/>
        <v/>
      </c>
      <c r="AQ118" s="3">
        <v>3</v>
      </c>
      <c r="AR118" s="1" t="str">
        <f ca="1">IFERROR(AVERAGEIF(WT_Dark_NonWABs[Retina],AQ118,OFFSET(WT_Dark_NonWABs[BurstDuration],0,AQ$113)),"")</f>
        <v/>
      </c>
      <c r="AS118" s="1" t="str">
        <f ca="1">IFERROR(AVERAGEIF(DTA_Dark_NonWABs[Retina],AQ118,OFFSET(DTA_Dark_NonWABs[BurstDuration],0,AQ$113)),"")</f>
        <v/>
      </c>
      <c r="AT118" s="1" t="str">
        <f ca="1">IFERROR(AR118/#REF!,"")</f>
        <v/>
      </c>
      <c r="AU118" s="1" t="str">
        <f t="shared" ca="1" si="29"/>
        <v/>
      </c>
    </row>
    <row r="119" spans="1:47" x14ac:dyDescent="0.25">
      <c r="A119" s="106"/>
      <c r="O119" s="3">
        <v>4</v>
      </c>
      <c r="P119" s="1" t="str">
        <f ca="1">IFERROR(AVERAGEIF(WT_Dark_NonWABs[Retina],O119,OFFSET(WT_Dark_NonWABs[BurstDuration],0,O$113)),"")</f>
        <v/>
      </c>
      <c r="Q119" s="1" t="str">
        <f ca="1">IFERROR(AVERAGEIF(DTA_Dark_NonWABs[Retina],O119,OFFSET(DTA_Dark_NonWABs[BurstDuration],0,O$113)),"")</f>
        <v/>
      </c>
      <c r="R119" s="1" t="str">
        <f ca="1">IFERROR(P119/#REF!,"")</f>
        <v/>
      </c>
      <c r="S119" s="1" t="str">
        <f t="shared" ca="1" si="25"/>
        <v/>
      </c>
      <c r="V119" s="3">
        <v>4</v>
      </c>
      <c r="W119" s="1" t="str">
        <f ca="1">IFERROR(AVERAGEIF(WT_Dark_NonWABs[Retina],V119,OFFSET(WT_Dark_NonWABs[BurstDuration],0,V$113)),"")</f>
        <v/>
      </c>
      <c r="X119" s="1" t="str">
        <f ca="1">IFERROR(AVERAGEIF(DTA_Dark_NonWABs[Retina],V119,OFFSET(DTA_Dark_NonWABs[BurstDuration],0,V$113)),"")</f>
        <v/>
      </c>
      <c r="Y119" s="1" t="str">
        <f ca="1">IFERROR(W119/#REF!,"")</f>
        <v/>
      </c>
      <c r="Z119" s="1" t="str">
        <f t="shared" ca="1" si="26"/>
        <v/>
      </c>
      <c r="AC119" s="3">
        <v>4</v>
      </c>
      <c r="AD119" s="1" t="str">
        <f ca="1">IFERROR(AVERAGEIF(WT_Dark_NonWABs[Retina],AC119,OFFSET(WT_Dark_NonWABs[BurstDuration],0,AC$113)),"")</f>
        <v/>
      </c>
      <c r="AE119" s="1" t="str">
        <f ca="1">IFERROR(AVERAGEIF(DTA_Dark_NonWABs[Retina],AC119,OFFSET(DTA_Dark_NonWABs[BurstDuration],0,AC$113)),"")</f>
        <v/>
      </c>
      <c r="AF119" s="1" t="str">
        <f ca="1">IFERROR(AD119/#REF!,"")</f>
        <v/>
      </c>
      <c r="AG119" s="1" t="str">
        <f t="shared" ca="1" si="27"/>
        <v/>
      </c>
      <c r="AJ119" s="3">
        <v>4</v>
      </c>
      <c r="AK119" s="1" t="str">
        <f ca="1">IFERROR(AVERAGEIF(WT_Dark_NonWABs[Retina],AJ119,OFFSET(WT_Dark_NonWABs[BurstDuration],0,AJ$113)),"")</f>
        <v/>
      </c>
      <c r="AL119" s="1" t="str">
        <f ca="1">IFERROR(AVERAGEIF(DTA_Dark_NonWABs[Retina],AJ119,OFFSET(DTA_Dark_NonWABs[BurstDuration],0,AJ$113)),"")</f>
        <v/>
      </c>
      <c r="AM119" s="1" t="str">
        <f ca="1">IFERROR(AK119/#REF!,"")</f>
        <v/>
      </c>
      <c r="AN119" s="1" t="str">
        <f t="shared" ca="1" si="28"/>
        <v/>
      </c>
      <c r="AQ119" s="3">
        <v>4</v>
      </c>
      <c r="AR119" s="1" t="str">
        <f ca="1">IFERROR(AVERAGEIF(WT_Dark_NonWABs[Retina],AQ119,OFFSET(WT_Dark_NonWABs[BurstDuration],0,AQ$113)),"")</f>
        <v/>
      </c>
      <c r="AS119" s="1" t="str">
        <f ca="1">IFERROR(AVERAGEIF(DTA_Dark_NonWABs[Retina],AQ119,OFFSET(DTA_Dark_NonWABs[BurstDuration],0,AQ$113)),"")</f>
        <v/>
      </c>
      <c r="AT119" s="1" t="str">
        <f ca="1">IFERROR(AR119/#REF!,"")</f>
        <v/>
      </c>
      <c r="AU119" s="1" t="str">
        <f t="shared" ca="1" si="29"/>
        <v/>
      </c>
    </row>
    <row r="120" spans="1:47" x14ac:dyDescent="0.25">
      <c r="A120" s="106"/>
      <c r="O120" s="3">
        <v>5</v>
      </c>
      <c r="P120" s="1" t="str">
        <f ca="1">IFERROR(AVERAGEIF(WT_Dark_NonWABs[Retina],O120,OFFSET(WT_Dark_NonWABs[BurstDuration],0,O$113)),"")</f>
        <v/>
      </c>
      <c r="Q120" s="1" t="str">
        <f ca="1">IFERROR(AVERAGEIF(DTA_Dark_NonWABs[Retina],O120,OFFSET(DTA_Dark_NonWABs[BurstDuration],0,O$113)),"")</f>
        <v/>
      </c>
      <c r="R120" s="1" t="str">
        <f ca="1">IFERROR(P120/#REF!,"")</f>
        <v/>
      </c>
      <c r="S120" s="1" t="str">
        <f t="shared" ca="1" si="25"/>
        <v/>
      </c>
      <c r="V120" s="3">
        <v>5</v>
      </c>
      <c r="W120" s="1" t="str">
        <f ca="1">IFERROR(AVERAGEIF(WT_Dark_NonWABs[Retina],V120,OFFSET(WT_Dark_NonWABs[BurstDuration],0,V$113)),"")</f>
        <v/>
      </c>
      <c r="X120" s="1" t="str">
        <f ca="1">IFERROR(AVERAGEIF(DTA_Dark_NonWABs[Retina],V120,OFFSET(DTA_Dark_NonWABs[BurstDuration],0,V$113)),"")</f>
        <v/>
      </c>
      <c r="Y120" s="1" t="str">
        <f ca="1">IFERROR(W120/#REF!,"")</f>
        <v/>
      </c>
      <c r="Z120" s="1" t="str">
        <f t="shared" ca="1" si="26"/>
        <v/>
      </c>
      <c r="AC120" s="3">
        <v>5</v>
      </c>
      <c r="AD120" s="1" t="str">
        <f ca="1">IFERROR(AVERAGEIF(WT_Dark_NonWABs[Retina],AC120,OFFSET(WT_Dark_NonWABs[BurstDuration],0,AC$113)),"")</f>
        <v/>
      </c>
      <c r="AE120" s="1" t="str">
        <f ca="1">IFERROR(AVERAGEIF(DTA_Dark_NonWABs[Retina],AC120,OFFSET(DTA_Dark_NonWABs[BurstDuration],0,AC$113)),"")</f>
        <v/>
      </c>
      <c r="AF120" s="1" t="str">
        <f ca="1">IFERROR(AD120/#REF!,"")</f>
        <v/>
      </c>
      <c r="AG120" s="1" t="str">
        <f t="shared" ca="1" si="27"/>
        <v/>
      </c>
      <c r="AJ120" s="3">
        <v>5</v>
      </c>
      <c r="AK120" s="1" t="str">
        <f ca="1">IFERROR(AVERAGEIF(WT_Dark_NonWABs[Retina],AJ120,OFFSET(WT_Dark_NonWABs[BurstDuration],0,AJ$113)),"")</f>
        <v/>
      </c>
      <c r="AL120" s="1" t="str">
        <f ca="1">IFERROR(AVERAGEIF(DTA_Dark_NonWABs[Retina],AJ120,OFFSET(DTA_Dark_NonWABs[BurstDuration],0,AJ$113)),"")</f>
        <v/>
      </c>
      <c r="AM120" s="1" t="str">
        <f ca="1">IFERROR(AK120/#REF!,"")</f>
        <v/>
      </c>
      <c r="AN120" s="1" t="str">
        <f t="shared" ca="1" si="28"/>
        <v/>
      </c>
      <c r="AQ120" s="3">
        <v>5</v>
      </c>
      <c r="AR120" s="1" t="str">
        <f ca="1">IFERROR(AVERAGEIF(WT_Dark_NonWABs[Retina],AQ120,OFFSET(WT_Dark_NonWABs[BurstDuration],0,AQ$113)),"")</f>
        <v/>
      </c>
      <c r="AS120" s="1" t="str">
        <f ca="1">IFERROR(AVERAGEIF(DTA_Dark_NonWABs[Retina],AQ120,OFFSET(DTA_Dark_NonWABs[BurstDuration],0,AQ$113)),"")</f>
        <v/>
      </c>
      <c r="AT120" s="1" t="str">
        <f ca="1">IFERROR(AR120/#REF!,"")</f>
        <v/>
      </c>
      <c r="AU120" s="1" t="str">
        <f t="shared" ca="1" si="29"/>
        <v/>
      </c>
    </row>
    <row r="121" spans="1:47" x14ac:dyDescent="0.25">
      <c r="A121" s="106"/>
      <c r="O121" s="3">
        <v>6</v>
      </c>
      <c r="P121" s="1" t="str">
        <f ca="1">IFERROR(AVERAGEIF(WT_Dark_NonWABs[Retina],O121,OFFSET(WT_Dark_NonWABs[BurstDuration],0,O$113)),"")</f>
        <v/>
      </c>
      <c r="Q121" s="1" t="str">
        <f ca="1">IFERROR(AVERAGEIF(DTA_Dark_NonWABs[Retina],O121,OFFSET(DTA_Dark_NonWABs[BurstDuration],0,O$113)),"")</f>
        <v/>
      </c>
      <c r="R121" s="1" t="str">
        <f ca="1">IFERROR(P121/#REF!,"")</f>
        <v/>
      </c>
      <c r="S121" s="1" t="str">
        <f t="shared" ca="1" si="25"/>
        <v/>
      </c>
      <c r="V121" s="3">
        <v>6</v>
      </c>
      <c r="W121" s="1" t="str">
        <f ca="1">IFERROR(AVERAGEIF(WT_Dark_NonWABs[Retina],V121,OFFSET(WT_Dark_NonWABs[BurstDuration],0,V$113)),"")</f>
        <v/>
      </c>
      <c r="X121" s="1" t="str">
        <f ca="1">IFERROR(AVERAGEIF(DTA_Dark_NonWABs[Retina],V121,OFFSET(DTA_Dark_NonWABs[BurstDuration],0,V$113)),"")</f>
        <v/>
      </c>
      <c r="Y121" s="1" t="str">
        <f ca="1">IFERROR(W121/#REF!,"")</f>
        <v/>
      </c>
      <c r="Z121" s="1" t="str">
        <f t="shared" ca="1" si="26"/>
        <v/>
      </c>
      <c r="AC121" s="3">
        <v>6</v>
      </c>
      <c r="AD121" s="1" t="str">
        <f ca="1">IFERROR(AVERAGEIF(WT_Dark_NonWABs[Retina],AC121,OFFSET(WT_Dark_NonWABs[BurstDuration],0,AC$113)),"")</f>
        <v/>
      </c>
      <c r="AE121" s="1" t="str">
        <f ca="1">IFERROR(AVERAGEIF(DTA_Dark_NonWABs[Retina],AC121,OFFSET(DTA_Dark_NonWABs[BurstDuration],0,AC$113)),"")</f>
        <v/>
      </c>
      <c r="AF121" s="1" t="str">
        <f ca="1">IFERROR(AD121/#REF!,"")</f>
        <v/>
      </c>
      <c r="AG121" s="1" t="str">
        <f t="shared" ca="1" si="27"/>
        <v/>
      </c>
      <c r="AJ121" s="3">
        <v>6</v>
      </c>
      <c r="AK121" s="1" t="str">
        <f ca="1">IFERROR(AVERAGEIF(WT_Dark_NonWABs[Retina],AJ121,OFFSET(WT_Dark_NonWABs[BurstDuration],0,AJ$113)),"")</f>
        <v/>
      </c>
      <c r="AL121" s="1" t="str">
        <f ca="1">IFERROR(AVERAGEIF(DTA_Dark_NonWABs[Retina],AJ121,OFFSET(DTA_Dark_NonWABs[BurstDuration],0,AJ$113)),"")</f>
        <v/>
      </c>
      <c r="AM121" s="1" t="str">
        <f ca="1">IFERROR(AK121/#REF!,"")</f>
        <v/>
      </c>
      <c r="AN121" s="1" t="str">
        <f t="shared" ca="1" si="28"/>
        <v/>
      </c>
      <c r="AQ121" s="3">
        <v>6</v>
      </c>
      <c r="AR121" s="1" t="str">
        <f ca="1">IFERROR(AVERAGEIF(WT_Dark_NonWABs[Retina],AQ121,OFFSET(WT_Dark_NonWABs[BurstDuration],0,AQ$113)),"")</f>
        <v/>
      </c>
      <c r="AS121" s="1" t="str">
        <f ca="1">IFERROR(AVERAGEIF(DTA_Dark_NonWABs[Retina],AQ121,OFFSET(DTA_Dark_NonWABs[BurstDuration],0,AQ$113)),"")</f>
        <v/>
      </c>
      <c r="AT121" s="1" t="str">
        <f ca="1">IFERROR(AR121/#REF!,"")</f>
        <v/>
      </c>
      <c r="AU121" s="1" t="str">
        <f t="shared" ca="1" si="29"/>
        <v/>
      </c>
    </row>
    <row r="122" spans="1:47" x14ac:dyDescent="0.25">
      <c r="O122" s="3">
        <v>7</v>
      </c>
      <c r="P122" s="1" t="str">
        <f ca="1">IFERROR(AVERAGEIF(WT_Dark_NonWABs[Retina],O122,OFFSET(WT_Dark_NonWABs[BurstDuration],0,O$113)),"")</f>
        <v/>
      </c>
      <c r="Q122" s="1" t="str">
        <f ca="1">IFERROR(AVERAGEIF(DTA_Dark_NonWABs[Retina],O122,OFFSET(DTA_Dark_NonWABs[BurstDuration],0,O$113)),"")</f>
        <v/>
      </c>
      <c r="R122" s="1" t="str">
        <f ca="1">IFERROR(P122/#REF!,"")</f>
        <v/>
      </c>
      <c r="S122" s="1" t="str">
        <f t="shared" ca="1" si="25"/>
        <v/>
      </c>
      <c r="V122" s="3">
        <v>7</v>
      </c>
      <c r="W122" s="1" t="str">
        <f ca="1">IFERROR(AVERAGEIF(WT_Dark_NonWABs[Retina],V122,OFFSET(WT_Dark_NonWABs[BurstDuration],0,V$113)),"")</f>
        <v/>
      </c>
      <c r="X122" s="1" t="str">
        <f ca="1">IFERROR(AVERAGEIF(DTA_Dark_NonWABs[Retina],V122,OFFSET(DTA_Dark_NonWABs[BurstDuration],0,V$113)),"")</f>
        <v/>
      </c>
      <c r="Y122" s="1" t="str">
        <f ca="1">IFERROR(W122/#REF!,"")</f>
        <v/>
      </c>
      <c r="Z122" s="1" t="str">
        <f t="shared" ca="1" si="26"/>
        <v/>
      </c>
      <c r="AC122" s="3">
        <v>7</v>
      </c>
      <c r="AD122" s="1" t="str">
        <f ca="1">IFERROR(AVERAGEIF(WT_Dark_NonWABs[Retina],AC122,OFFSET(WT_Dark_NonWABs[BurstDuration],0,AC$113)),"")</f>
        <v/>
      </c>
      <c r="AE122" s="1" t="str">
        <f ca="1">IFERROR(AVERAGEIF(DTA_Dark_NonWABs[Retina],AC122,OFFSET(DTA_Dark_NonWABs[BurstDuration],0,AC$113)),"")</f>
        <v/>
      </c>
      <c r="AF122" s="1" t="str">
        <f ca="1">IFERROR(AD122/#REF!,"")</f>
        <v/>
      </c>
      <c r="AG122" s="1" t="str">
        <f t="shared" ca="1" si="27"/>
        <v/>
      </c>
      <c r="AJ122" s="3">
        <v>7</v>
      </c>
      <c r="AK122" s="1" t="str">
        <f ca="1">IFERROR(AVERAGEIF(WT_Dark_NonWABs[Retina],AJ122,OFFSET(WT_Dark_NonWABs[BurstDuration],0,AJ$113)),"")</f>
        <v/>
      </c>
      <c r="AL122" s="1" t="str">
        <f ca="1">IFERROR(AVERAGEIF(DTA_Dark_NonWABs[Retina],AJ122,OFFSET(DTA_Dark_NonWABs[BurstDuration],0,AJ$113)),"")</f>
        <v/>
      </c>
      <c r="AM122" s="1" t="str">
        <f ca="1">IFERROR(AK122/#REF!,"")</f>
        <v/>
      </c>
      <c r="AN122" s="1" t="str">
        <f t="shared" ca="1" si="28"/>
        <v/>
      </c>
      <c r="AQ122" s="3">
        <v>7</v>
      </c>
      <c r="AR122" s="1" t="str">
        <f ca="1">IFERROR(AVERAGEIF(WT_Dark_NonWABs[Retina],AQ122,OFFSET(WT_Dark_NonWABs[BurstDuration],0,AQ$113)),"")</f>
        <v/>
      </c>
      <c r="AS122" s="1" t="str">
        <f ca="1">IFERROR(AVERAGEIF(DTA_Dark_NonWABs[Retina],AQ122,OFFSET(DTA_Dark_NonWABs[BurstDuration],0,AQ$113)),"")</f>
        <v/>
      </c>
      <c r="AT122" s="1" t="str">
        <f ca="1">IFERROR(AR122/#REF!,"")</f>
        <v/>
      </c>
      <c r="AU122" s="1" t="str">
        <f t="shared" ca="1" si="29"/>
        <v/>
      </c>
    </row>
    <row r="131" spans="21:34" x14ac:dyDescent="0.25">
      <c r="U131" s="18"/>
      <c r="V131" s="18"/>
      <c r="AC131" s="1"/>
      <c r="AD131" s="1"/>
      <c r="AG131" s="18"/>
      <c r="AH131" s="18"/>
    </row>
    <row r="132" spans="21:34" x14ac:dyDescent="0.25">
      <c r="V132" s="18"/>
      <c r="AD132" s="1"/>
      <c r="AH132" s="18"/>
    </row>
    <row r="133" spans="21:34" x14ac:dyDescent="0.25">
      <c r="V133" s="18"/>
      <c r="AD133" s="1"/>
      <c r="AH133" s="18"/>
    </row>
    <row r="134" spans="21:34" x14ac:dyDescent="0.25">
      <c r="V134" s="18"/>
      <c r="AD134" s="1"/>
      <c r="AH134" s="18"/>
    </row>
    <row r="135" spans="21:34" x14ac:dyDescent="0.25">
      <c r="V135" s="18"/>
      <c r="AD135" s="1"/>
      <c r="AH135" s="18"/>
    </row>
    <row r="136" spans="21:34" x14ac:dyDescent="0.25">
      <c r="V136" s="18"/>
      <c r="AD136" s="1"/>
      <c r="AH136" s="18"/>
    </row>
    <row r="137" spans="21:34" x14ac:dyDescent="0.25">
      <c r="V137" s="18"/>
      <c r="AD137" s="1"/>
      <c r="AH137" s="18"/>
    </row>
    <row r="138" spans="21:34" x14ac:dyDescent="0.25">
      <c r="V138" s="18"/>
      <c r="AD138" s="1"/>
      <c r="AH138" s="18"/>
    </row>
    <row r="139" spans="21:34" x14ac:dyDescent="0.25">
      <c r="V139" s="18"/>
      <c r="AD139" s="1"/>
      <c r="AH139" s="18"/>
    </row>
    <row r="140" spans="21:34" x14ac:dyDescent="0.25">
      <c r="V140" s="18"/>
      <c r="AD140" s="1"/>
      <c r="AH140" s="18"/>
    </row>
    <row r="141" spans="21:34" x14ac:dyDescent="0.25">
      <c r="V141" s="18"/>
      <c r="AD141" s="1"/>
      <c r="AH141" s="18"/>
    </row>
    <row r="142" spans="21:34" x14ac:dyDescent="0.25">
      <c r="V142" s="18"/>
      <c r="AD142" s="1"/>
      <c r="AH142" s="18"/>
    </row>
    <row r="143" spans="21:34" x14ac:dyDescent="0.25">
      <c r="V143" s="18"/>
      <c r="AD143" s="1"/>
      <c r="AH143" s="18"/>
    </row>
    <row r="144" spans="21:34" x14ac:dyDescent="0.25">
      <c r="V144" s="18"/>
      <c r="AD144" s="1"/>
      <c r="AH144" s="18"/>
    </row>
    <row r="145" spans="22:34" x14ac:dyDescent="0.25">
      <c r="V145" s="18"/>
      <c r="AD145" s="1"/>
      <c r="AH145" s="18"/>
    </row>
    <row r="146" spans="22:34" x14ac:dyDescent="0.25">
      <c r="V146" s="18"/>
      <c r="AD146" s="1"/>
      <c r="AH146" s="18"/>
    </row>
    <row r="147" spans="22:34" x14ac:dyDescent="0.25">
      <c r="V147" s="18"/>
      <c r="AD147" s="1"/>
      <c r="AH147" s="18"/>
    </row>
    <row r="148" spans="22:34" x14ac:dyDescent="0.25">
      <c r="V148" s="18"/>
      <c r="AD148" s="1"/>
      <c r="AH148" s="18"/>
    </row>
    <row r="149" spans="22:34" x14ac:dyDescent="0.25">
      <c r="V149" s="18"/>
      <c r="AD149" s="1"/>
      <c r="AH149" s="18"/>
    </row>
    <row r="150" spans="22:34" x14ac:dyDescent="0.25">
      <c r="V150" s="18"/>
      <c r="AD150" s="1"/>
      <c r="AH150" s="18"/>
    </row>
  </sheetData>
  <mergeCells count="19">
    <mergeCell ref="A34:A57"/>
    <mergeCell ref="A63:A89"/>
    <mergeCell ref="A95:A121"/>
    <mergeCell ref="O50:S50"/>
    <mergeCell ref="V50:Z50"/>
    <mergeCell ref="AC50:AG50"/>
    <mergeCell ref="AJ50:AN50"/>
    <mergeCell ref="AQ50:AU50"/>
    <mergeCell ref="AX50:BB50"/>
    <mergeCell ref="AQ82:AU82"/>
    <mergeCell ref="AJ82:AN82"/>
    <mergeCell ref="AJ114:AN114"/>
    <mergeCell ref="AQ114:AU114"/>
    <mergeCell ref="AC82:AG82"/>
    <mergeCell ref="V82:Z82"/>
    <mergeCell ref="O82:S82"/>
    <mergeCell ref="O114:S114"/>
    <mergeCell ref="V114:Z114"/>
    <mergeCell ref="AC114:AG114"/>
  </mergeCells>
  <conditionalFormatting sqref="Q7:Q22">
    <cfRule type="cellIs" dxfId="89" priority="1" operator="lessThan">
      <formula>PValue</formula>
    </cfRule>
  </conditionalFormatting>
  <pageMargins left="0.7" right="0.7" top="0.75" bottom="0.75" header="0.3" footer="0.3"/>
  <pageSetup orientation="portrait" r:id="rId1"/>
  <ignoredErrors>
    <ignoredError sqref="C18 C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7.42578125" style="12" bestFit="1" customWidth="1"/>
    <col min="4" max="4" width="10.42578125" style="12" bestFit="1" customWidth="1"/>
    <col min="5" max="5" width="23.28515625" style="12" bestFit="1" customWidth="1"/>
    <col min="6" max="6" width="17.28515625" style="12" bestFit="1" customWidth="1"/>
    <col min="7" max="7" width="7.5703125" style="12" bestFit="1" customWidth="1"/>
    <col min="8" max="8" width="23.7109375" style="12" bestFit="1" customWidth="1"/>
    <col min="9" max="9" width="11.7109375" style="12" bestFit="1" customWidth="1"/>
    <col min="10" max="10" width="29.5703125" style="12" bestFit="1" customWidth="1"/>
    <col min="11" max="11" width="16.7109375" style="12" bestFit="1" customWidth="1"/>
    <col min="12" max="16384" width="9.140625" style="12"/>
  </cols>
  <sheetData>
    <row r="1" spans="1:8" ht="21" x14ac:dyDescent="0.25">
      <c r="A1" s="107" t="s">
        <v>21</v>
      </c>
      <c r="B1" s="107"/>
      <c r="C1" s="108" t="s">
        <v>14</v>
      </c>
      <c r="D1" s="108"/>
      <c r="E1" s="108"/>
      <c r="F1" s="108"/>
      <c r="G1" s="108"/>
      <c r="H1" s="108"/>
    </row>
    <row r="2" spans="1:8" x14ac:dyDescent="0.25">
      <c r="A2" s="13" t="s">
        <v>0</v>
      </c>
      <c r="B2" s="13" t="s">
        <v>5</v>
      </c>
      <c r="C2" s="14" t="s">
        <v>11</v>
      </c>
      <c r="D2" s="14" t="s">
        <v>12</v>
      </c>
      <c r="E2" s="14" t="s">
        <v>7</v>
      </c>
      <c r="F2" s="14" t="s">
        <v>8</v>
      </c>
      <c r="G2" s="14" t="s">
        <v>9</v>
      </c>
      <c r="H2" s="13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5.7109375" style="12" bestFit="1" customWidth="1"/>
    <col min="4" max="4" width="17" style="12" bestFit="1" customWidth="1"/>
    <col min="5" max="5" width="10" style="12" bestFit="1" customWidth="1"/>
    <col min="6" max="6" width="29.5703125" style="12" bestFit="1" customWidth="1"/>
    <col min="7" max="7" width="16.7109375" style="12" bestFit="1" customWidth="1"/>
    <col min="8" max="8" width="18.7109375" style="12" bestFit="1" customWidth="1"/>
    <col min="9" max="9" width="11.7109375" style="12" bestFit="1" customWidth="1"/>
    <col min="10" max="10" width="29.5703125" style="12" bestFit="1" customWidth="1"/>
    <col min="11" max="11" width="16.7109375" style="12" bestFit="1" customWidth="1"/>
    <col min="12" max="16384" width="9.140625" style="12"/>
  </cols>
  <sheetData>
    <row r="1" spans="1:7" ht="21" x14ac:dyDescent="0.25">
      <c r="A1" s="107" t="s">
        <v>21</v>
      </c>
      <c r="B1" s="107"/>
      <c r="C1" s="109" t="s">
        <v>10</v>
      </c>
      <c r="D1" s="109"/>
      <c r="E1" s="109"/>
      <c r="F1" s="109"/>
      <c r="G1" s="109"/>
    </row>
    <row r="2" spans="1:7" x14ac:dyDescent="0.25">
      <c r="A2" s="13" t="s">
        <v>0</v>
      </c>
      <c r="B2" s="13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5.7109375" style="12" bestFit="1" customWidth="1"/>
    <col min="4" max="4" width="17" style="12" bestFit="1" customWidth="1"/>
    <col min="5" max="5" width="10" style="12" bestFit="1" customWidth="1"/>
    <col min="6" max="6" width="29.5703125" style="12" bestFit="1" customWidth="1"/>
    <col min="7" max="7" width="16.7109375" style="12" bestFit="1" customWidth="1"/>
    <col min="8" max="8" width="11.7109375" style="12" bestFit="1" customWidth="1"/>
    <col min="9" max="9" width="29.5703125" style="12" bestFit="1" customWidth="1"/>
    <col min="10" max="10" width="16.7109375" style="12" bestFit="1" customWidth="1"/>
    <col min="11" max="16384" width="9.140625" style="12"/>
  </cols>
  <sheetData>
    <row r="1" spans="1:7" ht="21" x14ac:dyDescent="0.25">
      <c r="A1" s="107" t="s">
        <v>21</v>
      </c>
      <c r="B1" s="107"/>
      <c r="C1" s="110" t="s">
        <v>13</v>
      </c>
      <c r="D1" s="110"/>
      <c r="E1" s="110"/>
      <c r="F1" s="110"/>
      <c r="G1" s="110"/>
    </row>
    <row r="2" spans="1:7" x14ac:dyDescent="0.25">
      <c r="A2" s="13" t="s">
        <v>0</v>
      </c>
      <c r="B2" s="13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7.42578125" style="12" bestFit="1" customWidth="1"/>
    <col min="4" max="4" width="10.42578125" style="12" bestFit="1" customWidth="1"/>
    <col min="5" max="5" width="23.28515625" style="12" bestFit="1" customWidth="1"/>
    <col min="6" max="6" width="17.28515625" style="12" bestFit="1" customWidth="1"/>
    <col min="7" max="7" width="8.5703125" style="12" bestFit="1" customWidth="1"/>
    <col min="8" max="8" width="23.7109375" style="12" bestFit="1" customWidth="1"/>
    <col min="9" max="16384" width="9.140625" style="12"/>
  </cols>
  <sheetData>
    <row r="1" spans="1:8" ht="21" x14ac:dyDescent="0.25">
      <c r="A1" s="111" t="s">
        <v>20</v>
      </c>
      <c r="B1" s="111"/>
      <c r="C1" s="108" t="s">
        <v>14</v>
      </c>
      <c r="D1" s="108"/>
      <c r="E1" s="108"/>
      <c r="F1" s="108"/>
      <c r="G1" s="108"/>
      <c r="H1" s="108"/>
    </row>
    <row r="2" spans="1:8" x14ac:dyDescent="0.25">
      <c r="A2" s="13" t="s">
        <v>0</v>
      </c>
      <c r="B2" s="13" t="s">
        <v>5</v>
      </c>
      <c r="C2" s="14" t="s">
        <v>11</v>
      </c>
      <c r="D2" s="14" t="s">
        <v>12</v>
      </c>
      <c r="E2" s="14" t="s">
        <v>7</v>
      </c>
      <c r="F2" s="14" t="s">
        <v>8</v>
      </c>
      <c r="G2" s="14" t="s">
        <v>9</v>
      </c>
      <c r="H2" s="13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5.7109375" style="12" bestFit="1" customWidth="1"/>
    <col min="4" max="4" width="17" style="12" bestFit="1" customWidth="1"/>
    <col min="5" max="5" width="10" style="12" bestFit="1" customWidth="1"/>
    <col min="6" max="6" width="29.5703125" style="12" bestFit="1" customWidth="1"/>
    <col min="7" max="7" width="16.7109375" style="12" bestFit="1" customWidth="1"/>
    <col min="8" max="16384" width="9.140625" style="12"/>
  </cols>
  <sheetData>
    <row r="1" spans="1:7" ht="21" x14ac:dyDescent="0.25">
      <c r="A1" s="111" t="s">
        <v>20</v>
      </c>
      <c r="B1" s="111"/>
      <c r="C1" s="109" t="s">
        <v>10</v>
      </c>
      <c r="D1" s="109"/>
      <c r="E1" s="109"/>
      <c r="F1" s="109"/>
      <c r="G1" s="109"/>
    </row>
    <row r="2" spans="1:7" x14ac:dyDescent="0.25">
      <c r="A2" s="13" t="s">
        <v>0</v>
      </c>
      <c r="B2" s="13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activeCell="A3" sqref="A3"/>
    </sheetView>
  </sheetViews>
  <sheetFormatPr defaultRowHeight="15" x14ac:dyDescent="0.25"/>
  <cols>
    <col min="1" max="1" width="9" style="3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111" t="s">
        <v>20</v>
      </c>
      <c r="B1" s="111"/>
      <c r="C1" s="110" t="s">
        <v>13</v>
      </c>
      <c r="D1" s="110"/>
      <c r="E1" s="110"/>
      <c r="F1" s="110"/>
      <c r="G1" s="110"/>
    </row>
    <row r="2" spans="1:7" x14ac:dyDescent="0.25">
      <c r="A2" s="9" t="s">
        <v>0</v>
      </c>
      <c r="B2" s="9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</row>
  </sheetData>
  <mergeCells count="2">
    <mergeCell ref="C1:G1"/>
    <mergeCell ref="A1:B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Contents</vt:lpstr>
      <vt:lpstr>Invalid Units</vt:lpstr>
      <vt:lpstr>Stats</vt:lpstr>
      <vt:lpstr>Figures</vt:lpstr>
      <vt:lpstr>WT_Dark_All</vt:lpstr>
      <vt:lpstr>WT_Dark_WABs</vt:lpstr>
      <vt:lpstr>WT_Dark_NonWABs</vt:lpstr>
      <vt:lpstr>DTA_Dark_All</vt:lpstr>
      <vt:lpstr>DTA_Dark_WABs</vt:lpstr>
      <vt:lpstr>DTA_Dark_NonWABs</vt:lpstr>
      <vt:lpstr>PropertyCols</vt:lpstr>
      <vt:lpstr>PropertyRows</vt:lpstr>
      <vt:lpstr>PValue</vt:lpstr>
      <vt:lpstr>TTTails</vt:lpstr>
      <vt:lpstr>TTType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2016-02-25T19:47:49Z</dcterms:modified>
</cp:coreProperties>
</file>