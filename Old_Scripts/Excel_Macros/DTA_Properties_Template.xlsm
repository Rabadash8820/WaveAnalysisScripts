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2315" activeTab="3"/>
  </bookViews>
  <sheets>
    <sheet name="Contents" sheetId="9" r:id="rId1"/>
    <sheet name="Invalid Unit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DTA_Dark_All" sheetId="7" r:id="rId8"/>
    <sheet name="DTA_Dark_WABs" sheetId="19" r:id="rId9"/>
    <sheet name="DTA_Dark_NonWABs" sheetId="20" r:id="rId10"/>
  </sheets>
  <functionGroups builtInGroupCount="18"/>
  <definedNames>
    <definedName name="PropertyCols">Figures!$A$4</definedName>
    <definedName name="PropertyRows">Figures!$A$2</definedName>
    <definedName name="PValue">Stats!$B$2</definedName>
    <definedName name="TTTails">Stats!$B$3</definedName>
    <definedName name="TTType">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G7" i="2" s="1"/>
  <c r="C7" i="2"/>
  <c r="C18" i="2" s="1"/>
  <c r="B3" i="9"/>
  <c r="C8" i="2" l="1"/>
  <c r="C9" i="2" s="1"/>
  <c r="C10" i="2" s="1"/>
  <c r="C11" i="2" s="1"/>
  <c r="C12" i="2" s="1"/>
  <c r="B13" i="2"/>
  <c r="B18" i="2" s="1"/>
  <c r="C13" i="2"/>
  <c r="C14" i="2" s="1"/>
  <c r="C15" i="2" s="1"/>
  <c r="C16" i="2" s="1"/>
  <c r="C17" i="2" s="1"/>
  <c r="C19" i="2" s="1"/>
  <c r="C20" i="2" s="1"/>
  <c r="C21" i="2" s="1"/>
  <c r="C22" i="2" s="1"/>
  <c r="D7" i="2"/>
  <c r="E7" i="2"/>
  <c r="F7" i="2"/>
  <c r="B8" i="2"/>
  <c r="B12" i="2"/>
  <c r="B11" i="2"/>
  <c r="B10" i="2"/>
  <c r="B9" i="2"/>
  <c r="S117" i="2"/>
  <c r="G10" i="2" l="1"/>
  <c r="F10" i="2"/>
  <c r="E10" i="2"/>
  <c r="D10" i="2"/>
  <c r="F9" i="2"/>
  <c r="G9" i="2"/>
  <c r="D9" i="2"/>
  <c r="E9" i="2"/>
  <c r="F11" i="2"/>
  <c r="G11" i="2"/>
  <c r="E11" i="2"/>
  <c r="D11" i="2"/>
  <c r="G8" i="2"/>
  <c r="D8" i="2"/>
  <c r="F8" i="2"/>
  <c r="E8" i="2"/>
  <c r="D12" i="2"/>
  <c r="G12" i="2"/>
  <c r="F12" i="2"/>
  <c r="E12" i="2"/>
  <c r="G13" i="2"/>
  <c r="F13" i="2"/>
  <c r="E13" i="2"/>
  <c r="D13" i="2"/>
  <c r="B14" i="2"/>
  <c r="B15" i="2"/>
  <c r="B16" i="2"/>
  <c r="B17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BB58" i="2"/>
  <c r="BA58" i="2"/>
  <c r="BB57" i="2"/>
  <c r="BA57" i="2"/>
  <c r="BB56" i="2"/>
  <c r="BA56" i="2"/>
  <c r="BB55" i="2"/>
  <c r="BA55" i="2"/>
  <c r="BB54" i="2"/>
  <c r="BA54" i="2"/>
  <c r="BB53" i="2"/>
  <c r="BA53" i="2"/>
  <c r="BB52" i="2"/>
  <c r="BA52" i="2"/>
  <c r="AU58" i="2"/>
  <c r="AT58" i="2"/>
  <c r="AU57" i="2"/>
  <c r="AT57" i="2"/>
  <c r="AU56" i="2"/>
  <c r="AT56" i="2"/>
  <c r="AU55" i="2"/>
  <c r="AT55" i="2"/>
  <c r="AU54" i="2"/>
  <c r="AT54" i="2"/>
  <c r="AU53" i="2"/>
  <c r="AT53" i="2"/>
  <c r="AU52" i="2"/>
  <c r="AT52" i="2"/>
  <c r="AN58" i="2"/>
  <c r="AM58" i="2"/>
  <c r="AN57" i="2"/>
  <c r="AM57" i="2"/>
  <c r="AN56" i="2"/>
  <c r="AM56" i="2"/>
  <c r="AN55" i="2"/>
  <c r="AM55" i="2"/>
  <c r="AN54" i="2"/>
  <c r="AM54" i="2"/>
  <c r="AN53" i="2"/>
  <c r="AM53" i="2"/>
  <c r="AN52" i="2"/>
  <c r="AM52" i="2"/>
  <c r="AG58" i="2"/>
  <c r="AF58" i="2"/>
  <c r="AG57" i="2"/>
  <c r="AF57" i="2"/>
  <c r="AG56" i="2"/>
  <c r="AF56" i="2"/>
  <c r="AG55" i="2"/>
  <c r="AF55" i="2"/>
  <c r="AG54" i="2"/>
  <c r="AF54" i="2"/>
  <c r="AG53" i="2"/>
  <c r="AF53" i="2"/>
  <c r="AG52" i="2"/>
  <c r="AF52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AB85" i="2" l="1"/>
  <c r="U86" i="2"/>
  <c r="AB86" i="2"/>
  <c r="U87" i="2"/>
  <c r="AB90" i="2"/>
  <c r="AB84" i="2"/>
  <c r="U85" i="2"/>
  <c r="AB89" i="2"/>
  <c r="U90" i="2"/>
  <c r="AB88" i="2"/>
  <c r="U89" i="2"/>
  <c r="AB87" i="2"/>
  <c r="U88" i="2"/>
  <c r="U84" i="2"/>
  <c r="BD57" i="2"/>
  <c r="BD52" i="2"/>
  <c r="BD58" i="2"/>
  <c r="BD53" i="2"/>
  <c r="BD54" i="2"/>
  <c r="BD55" i="2"/>
  <c r="BD56" i="2"/>
  <c r="AW52" i="2"/>
  <c r="AW58" i="2"/>
  <c r="AW53" i="2"/>
  <c r="AW54" i="2"/>
  <c r="AW55" i="2"/>
  <c r="AW56" i="2"/>
  <c r="AW57" i="2"/>
  <c r="AP53" i="2"/>
  <c r="AP54" i="2"/>
  <c r="AP55" i="2"/>
  <c r="AP56" i="2"/>
  <c r="AP57" i="2"/>
  <c r="AP52" i="2"/>
  <c r="AP58" i="2"/>
  <c r="AI54" i="2"/>
  <c r="AI55" i="2"/>
  <c r="AI56" i="2"/>
  <c r="AI57" i="2"/>
  <c r="AI58" i="2"/>
  <c r="AI52" i="2"/>
  <c r="AI53" i="2"/>
  <c r="AB55" i="2"/>
  <c r="AB56" i="2"/>
  <c r="AB57" i="2"/>
  <c r="AB58" i="2"/>
  <c r="AB53" i="2"/>
  <c r="AB52" i="2"/>
  <c r="AB54" i="2"/>
  <c r="AA86" i="2"/>
  <c r="T87" i="2"/>
  <c r="BC52" i="2"/>
  <c r="AA85" i="2"/>
  <c r="AA90" i="2"/>
  <c r="AA84" i="2"/>
  <c r="AA89" i="2"/>
  <c r="AA88" i="2"/>
  <c r="AA87" i="2"/>
  <c r="T86" i="2"/>
  <c r="T85" i="2"/>
  <c r="T90" i="2"/>
  <c r="T89" i="2"/>
  <c r="T88" i="2"/>
  <c r="T84" i="2"/>
  <c r="BC57" i="2"/>
  <c r="AV53" i="2"/>
  <c r="BC58" i="2"/>
  <c r="BC53" i="2"/>
  <c r="BC54" i="2"/>
  <c r="BC55" i="2"/>
  <c r="BC56" i="2"/>
  <c r="AV52" i="2"/>
  <c r="AV58" i="2"/>
  <c r="AV54" i="2"/>
  <c r="AA52" i="2"/>
  <c r="AV55" i="2"/>
  <c r="AH52" i="2"/>
  <c r="AV56" i="2"/>
  <c r="AO52" i="2"/>
  <c r="AV57" i="2"/>
  <c r="AO53" i="2"/>
  <c r="AO54" i="2"/>
  <c r="AO55" i="2"/>
  <c r="AO56" i="2"/>
  <c r="AO57" i="2"/>
  <c r="AO58" i="2"/>
  <c r="AH54" i="2"/>
  <c r="AH55" i="2"/>
  <c r="AH56" i="2"/>
  <c r="AH57" i="2"/>
  <c r="AH58" i="2"/>
  <c r="AH53" i="2"/>
  <c r="AA55" i="2"/>
  <c r="AA57" i="2"/>
  <c r="AA56" i="2"/>
  <c r="AA58" i="2"/>
  <c r="AA53" i="2"/>
  <c r="AA54" i="2"/>
  <c r="G17" i="2"/>
  <c r="D17" i="2"/>
  <c r="F17" i="2"/>
  <c r="E17" i="2"/>
  <c r="G16" i="2"/>
  <c r="F16" i="2"/>
  <c r="E16" i="2"/>
  <c r="D16" i="2"/>
  <c r="D15" i="2"/>
  <c r="G15" i="2"/>
  <c r="F15" i="2"/>
  <c r="E15" i="2"/>
  <c r="D14" i="2"/>
  <c r="G14" i="2"/>
  <c r="F14" i="2"/>
  <c r="E14" i="2"/>
  <c r="D18" i="2"/>
  <c r="G18" i="2"/>
  <c r="F18" i="2"/>
  <c r="E18" i="2"/>
  <c r="B22" i="2"/>
  <c r="B21" i="2"/>
  <c r="B20" i="2"/>
  <c r="B19" i="2"/>
  <c r="AU122" i="2"/>
  <c r="AT122" i="2"/>
  <c r="AU121" i="2"/>
  <c r="AT121" i="2"/>
  <c r="AU120" i="2"/>
  <c r="AT120" i="2"/>
  <c r="AU119" i="2"/>
  <c r="AT119" i="2"/>
  <c r="AU118" i="2"/>
  <c r="AT118" i="2"/>
  <c r="AU117" i="2"/>
  <c r="AT117" i="2"/>
  <c r="AU116" i="2"/>
  <c r="AT116" i="2"/>
  <c r="AN122" i="2"/>
  <c r="AM122" i="2"/>
  <c r="AN121" i="2"/>
  <c r="AM121" i="2"/>
  <c r="AN120" i="2"/>
  <c r="AM120" i="2"/>
  <c r="AN119" i="2"/>
  <c r="AM119" i="2"/>
  <c r="AN118" i="2"/>
  <c r="AM118" i="2"/>
  <c r="AN117" i="2"/>
  <c r="AM117" i="2"/>
  <c r="AN116" i="2"/>
  <c r="AM116" i="2"/>
  <c r="AG122" i="2"/>
  <c r="AF122" i="2"/>
  <c r="AG121" i="2"/>
  <c r="AF121" i="2"/>
  <c r="AG120" i="2"/>
  <c r="AF120" i="2"/>
  <c r="AG119" i="2"/>
  <c r="AF119" i="2"/>
  <c r="AG118" i="2"/>
  <c r="AF118" i="2"/>
  <c r="AG117" i="2"/>
  <c r="AF117" i="2"/>
  <c r="AG116" i="2"/>
  <c r="AF116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R117" i="2"/>
  <c r="R118" i="2"/>
  <c r="S118" i="2"/>
  <c r="R119" i="2"/>
  <c r="S119" i="2"/>
  <c r="R120" i="2"/>
  <c r="S120" i="2"/>
  <c r="R121" i="2"/>
  <c r="S121" i="2"/>
  <c r="R122" i="2"/>
  <c r="S122" i="2"/>
  <c r="S116" i="2"/>
  <c r="N11" i="2"/>
  <c r="N12" i="2"/>
  <c r="N14" i="2"/>
  <c r="N10" i="2"/>
  <c r="N9" i="2"/>
  <c r="N8" i="2"/>
  <c r="N13" i="2"/>
  <c r="AW118" i="2" l="1"/>
  <c r="AW119" i="2"/>
  <c r="AW120" i="2"/>
  <c r="AW121" i="2"/>
  <c r="AW116" i="2"/>
  <c r="AW122" i="2"/>
  <c r="AW117" i="2"/>
  <c r="AP119" i="2"/>
  <c r="AP120" i="2"/>
  <c r="AP121" i="2"/>
  <c r="AP116" i="2"/>
  <c r="AP122" i="2"/>
  <c r="AP117" i="2"/>
  <c r="AP118" i="2"/>
  <c r="AI120" i="2"/>
  <c r="AI121" i="2"/>
  <c r="AI116" i="2"/>
  <c r="AI122" i="2"/>
  <c r="AI117" i="2"/>
  <c r="AI118" i="2"/>
  <c r="AI119" i="2"/>
  <c r="AB121" i="2"/>
  <c r="AB122" i="2"/>
  <c r="AB117" i="2"/>
  <c r="AB116" i="2"/>
  <c r="AB118" i="2"/>
  <c r="AB119" i="2"/>
  <c r="AB120" i="2"/>
  <c r="AV117" i="2"/>
  <c r="AV118" i="2"/>
  <c r="AV119" i="2"/>
  <c r="AV120" i="2"/>
  <c r="AO116" i="2"/>
  <c r="AV121" i="2"/>
  <c r="AV116" i="2"/>
  <c r="AV122" i="2"/>
  <c r="AO118" i="2"/>
  <c r="AH120" i="2"/>
  <c r="AO119" i="2"/>
  <c r="AO120" i="2"/>
  <c r="AO121" i="2"/>
  <c r="AO122" i="2"/>
  <c r="AO117" i="2"/>
  <c r="AA120" i="2"/>
  <c r="AH119" i="2"/>
  <c r="AH121" i="2"/>
  <c r="AH122" i="2"/>
  <c r="AH116" i="2"/>
  <c r="AH117" i="2"/>
  <c r="AH118" i="2"/>
  <c r="AA119" i="2"/>
  <c r="AA121" i="2"/>
  <c r="AA122" i="2"/>
  <c r="AA116" i="2"/>
  <c r="AA117" i="2"/>
  <c r="AA118" i="2"/>
  <c r="G19" i="2"/>
  <c r="F19" i="2"/>
  <c r="E19" i="2"/>
  <c r="D19" i="2"/>
  <c r="D20" i="2"/>
  <c r="E20" i="2"/>
  <c r="G20" i="2"/>
  <c r="F20" i="2"/>
  <c r="G21" i="2"/>
  <c r="F21" i="2"/>
  <c r="E21" i="2"/>
  <c r="D21" i="2"/>
  <c r="G22" i="2"/>
  <c r="F22" i="2"/>
  <c r="E22" i="2"/>
  <c r="D22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116" i="2"/>
  <c r="AU90" i="2"/>
  <c r="AT90" i="2"/>
  <c r="AU89" i="2"/>
  <c r="AT89" i="2"/>
  <c r="AU88" i="2"/>
  <c r="AT88" i="2"/>
  <c r="AU87" i="2"/>
  <c r="AT87" i="2"/>
  <c r="AU86" i="2"/>
  <c r="AT86" i="2"/>
  <c r="AU85" i="2"/>
  <c r="AT85" i="2"/>
  <c r="AU84" i="2"/>
  <c r="AT84" i="2"/>
  <c r="AN90" i="2"/>
  <c r="AM90" i="2"/>
  <c r="AN89" i="2"/>
  <c r="AM89" i="2"/>
  <c r="AN88" i="2"/>
  <c r="AM88" i="2"/>
  <c r="AN87" i="2"/>
  <c r="AM87" i="2"/>
  <c r="AN86" i="2"/>
  <c r="AM86" i="2"/>
  <c r="AN85" i="2"/>
  <c r="AM85" i="2"/>
  <c r="AN84" i="2"/>
  <c r="AM84" i="2"/>
  <c r="AG90" i="2"/>
  <c r="AF90" i="2"/>
  <c r="AG89" i="2"/>
  <c r="AF89" i="2"/>
  <c r="AG88" i="2"/>
  <c r="AF88" i="2"/>
  <c r="AG87" i="2"/>
  <c r="AF87" i="2"/>
  <c r="AG86" i="2"/>
  <c r="AF86" i="2"/>
  <c r="AG85" i="2"/>
  <c r="AF85" i="2"/>
  <c r="AG84" i="2"/>
  <c r="AF84" i="2"/>
  <c r="L21" i="2"/>
  <c r="L11" i="2"/>
  <c r="H14" i="2"/>
  <c r="L15" i="2"/>
  <c r="M20" i="2"/>
  <c r="L9" i="2"/>
  <c r="M9" i="2"/>
  <c r="I7" i="2"/>
  <c r="I17" i="2"/>
  <c r="I15" i="2"/>
  <c r="H17" i="2"/>
  <c r="M7" i="2"/>
  <c r="H12" i="2"/>
  <c r="I13" i="2"/>
  <c r="H18" i="2"/>
  <c r="M10" i="2"/>
  <c r="I12" i="2"/>
  <c r="I20" i="2"/>
  <c r="I19" i="2"/>
  <c r="M8" i="2"/>
  <c r="I10" i="2"/>
  <c r="H9" i="2"/>
  <c r="M22" i="2"/>
  <c r="M13" i="2"/>
  <c r="L13" i="2"/>
  <c r="L8" i="2"/>
  <c r="N22" i="2"/>
  <c r="N21" i="2"/>
  <c r="H20" i="2"/>
  <c r="H15" i="2"/>
  <c r="N19" i="2"/>
  <c r="M12" i="2"/>
  <c r="M14" i="2"/>
  <c r="L10" i="2"/>
  <c r="M21" i="2"/>
  <c r="H10" i="2"/>
  <c r="H11" i="2"/>
  <c r="I8" i="2"/>
  <c r="L19" i="2"/>
  <c r="I14" i="2"/>
  <c r="H19" i="2"/>
  <c r="H16" i="2"/>
  <c r="I16" i="2"/>
  <c r="I21" i="2"/>
  <c r="H7" i="2"/>
  <c r="M19" i="2"/>
  <c r="N20" i="2"/>
  <c r="M15" i="2"/>
  <c r="L18" i="2"/>
  <c r="I18" i="2"/>
  <c r="I9" i="2"/>
  <c r="L12" i="2"/>
  <c r="L16" i="2"/>
  <c r="I22" i="2"/>
  <c r="L22" i="2"/>
  <c r="H13" i="2"/>
  <c r="H8" i="2"/>
  <c r="H22" i="2"/>
  <c r="L7" i="2"/>
  <c r="M11" i="2"/>
  <c r="M17" i="2"/>
  <c r="L17" i="2"/>
  <c r="L14" i="2"/>
  <c r="I11" i="2"/>
  <c r="M18" i="2"/>
  <c r="M16" i="2"/>
  <c r="L20" i="2"/>
  <c r="H21" i="2"/>
  <c r="T116" i="2" l="1"/>
  <c r="U117" i="2"/>
  <c r="U118" i="2"/>
  <c r="U119" i="2"/>
  <c r="U122" i="2"/>
  <c r="U120" i="2"/>
  <c r="U121" i="2"/>
  <c r="U116" i="2"/>
  <c r="AI85" i="2"/>
  <c r="AP84" i="2"/>
  <c r="AP90" i="2"/>
  <c r="AW89" i="2"/>
  <c r="AW84" i="2"/>
  <c r="AW90" i="2"/>
  <c r="AW85" i="2"/>
  <c r="AW86" i="2"/>
  <c r="AW87" i="2"/>
  <c r="AW88" i="2"/>
  <c r="AP85" i="2"/>
  <c r="AP86" i="2"/>
  <c r="AP87" i="2"/>
  <c r="AI86" i="2"/>
  <c r="AP88" i="2"/>
  <c r="AP89" i="2"/>
  <c r="AI87" i="2"/>
  <c r="AI88" i="2"/>
  <c r="AI89" i="2"/>
  <c r="AI84" i="2"/>
  <c r="AI90" i="2"/>
  <c r="U53" i="2"/>
  <c r="U54" i="2"/>
  <c r="U58" i="2"/>
  <c r="U57" i="2"/>
  <c r="U56" i="2"/>
  <c r="U55" i="2"/>
  <c r="U52" i="2"/>
  <c r="T120" i="2"/>
  <c r="AH84" i="2"/>
  <c r="AO89" i="2"/>
  <c r="AV88" i="2"/>
  <c r="T121" i="2"/>
  <c r="T122" i="2"/>
  <c r="T117" i="2"/>
  <c r="T118" i="2"/>
  <c r="T119" i="2"/>
  <c r="AV89" i="2"/>
  <c r="AV84" i="2"/>
  <c r="AV90" i="2"/>
  <c r="AV85" i="2"/>
  <c r="AV86" i="2"/>
  <c r="AV87" i="2"/>
  <c r="AO84" i="2"/>
  <c r="AO90" i="2"/>
  <c r="AO85" i="2"/>
  <c r="AO86" i="2"/>
  <c r="AO87" i="2"/>
  <c r="AO88" i="2"/>
  <c r="AH86" i="2"/>
  <c r="AH90" i="2"/>
  <c r="AH87" i="2"/>
  <c r="AH88" i="2"/>
  <c r="AH85" i="2"/>
  <c r="AH89" i="2"/>
  <c r="T58" i="2"/>
  <c r="T53" i="2"/>
  <c r="T57" i="2"/>
  <c r="T56" i="2"/>
  <c r="T55" i="2"/>
  <c r="T54" i="2"/>
  <c r="T52" i="2"/>
  <c r="Q18" i="2"/>
  <c r="Q11" i="2"/>
  <c r="Q21" i="2"/>
  <c r="P11" i="2"/>
  <c r="Q17" i="2"/>
  <c r="Q19" i="2"/>
  <c r="Q13" i="2"/>
  <c r="P15" i="2"/>
  <c r="Q16" i="2"/>
  <c r="P22" i="2"/>
  <c r="P19" i="2"/>
  <c r="P10" i="2"/>
  <c r="P18" i="2"/>
  <c r="P14" i="2"/>
  <c r="P21" i="2"/>
  <c r="Q10" i="2"/>
  <c r="P17" i="2"/>
  <c r="P9" i="2"/>
  <c r="Q9" i="2"/>
  <c r="Q12" i="2"/>
  <c r="Q22" i="2"/>
  <c r="P16" i="2"/>
  <c r="P8" i="2"/>
  <c r="Q15" i="2"/>
  <c r="P20" i="2"/>
  <c r="Q14" i="2"/>
  <c r="P12" i="2"/>
  <c r="P13" i="2"/>
  <c r="Q20" i="2"/>
  <c r="Q8" i="2"/>
  <c r="Q7" i="2"/>
  <c r="P7" i="2"/>
  <c r="O8" i="2"/>
  <c r="O13" i="2"/>
  <c r="N7" i="2"/>
  <c r="O19" i="2"/>
  <c r="O22" i="2"/>
  <c r="K19" i="2"/>
  <c r="K10" i="2"/>
  <c r="O15" i="2"/>
  <c r="K13" i="2"/>
  <c r="O18" i="2"/>
  <c r="N17" i="2"/>
  <c r="O9" i="2"/>
  <c r="O16" i="2"/>
  <c r="K21" i="2"/>
  <c r="O21" i="2"/>
  <c r="K18" i="2"/>
  <c r="N16" i="2"/>
  <c r="K22" i="2"/>
  <c r="K17" i="2"/>
  <c r="K12" i="2"/>
  <c r="O7" i="2"/>
  <c r="O20" i="2"/>
  <c r="K8" i="2"/>
  <c r="K15" i="2"/>
  <c r="K20" i="2"/>
  <c r="K9" i="2"/>
  <c r="O10" i="2"/>
  <c r="O11" i="2"/>
  <c r="O17" i="2"/>
  <c r="K11" i="2"/>
  <c r="O14" i="2"/>
  <c r="K7" i="2"/>
  <c r="K16" i="2"/>
  <c r="N18" i="2"/>
  <c r="O12" i="2"/>
  <c r="K14" i="2"/>
  <c r="N15" i="2"/>
  <c r="R10" i="2" l="1"/>
  <c r="R8" i="2"/>
  <c r="R12" i="2"/>
  <c r="R13" i="2"/>
  <c r="R14" i="2"/>
  <c r="R9" i="2"/>
  <c r="R11" i="2"/>
  <c r="R21" i="2"/>
  <c r="R19" i="2"/>
  <c r="R22" i="2"/>
  <c r="R20" i="2"/>
  <c r="R18" i="2"/>
  <c r="R17" i="2"/>
  <c r="R16" i="2"/>
  <c r="R15" i="2" l="1"/>
  <c r="R7" i="2"/>
  <c r="S7" i="2"/>
  <c r="S18" i="2"/>
  <c r="S14" i="2"/>
  <c r="S10" i="2"/>
  <c r="S9" i="2"/>
  <c r="S15" i="2"/>
  <c r="S20" i="2"/>
  <c r="S13" i="2"/>
  <c r="S17" i="2"/>
  <c r="S11" i="2"/>
  <c r="S21" i="2"/>
  <c r="S19" i="2"/>
  <c r="S16" i="2"/>
  <c r="S22" i="2"/>
  <c r="S8" i="2"/>
  <c r="S12" i="2"/>
  <c r="A12" i="2" l="1"/>
  <c r="A10" i="2"/>
  <c r="A8" i="2"/>
  <c r="A14" i="2"/>
  <c r="A22" i="2"/>
  <c r="A18" i="2"/>
  <c r="A16" i="2"/>
  <c r="A7" i="2"/>
  <c r="A19" i="2"/>
  <c r="A21" i="2"/>
  <c r="A17" i="2"/>
  <c r="A11" i="2"/>
  <c r="A13" i="2"/>
  <c r="A20" i="2"/>
  <c r="A9" i="2"/>
  <c r="A15" i="2"/>
</calcChain>
</file>

<file path=xl/sharedStrings.xml><?xml version="1.0" encoding="utf-8"?>
<sst xmlns="http://schemas.openxmlformats.org/spreadsheetml/2006/main" count="196" uniqueCount="72">
  <si>
    <t>Retina</t>
  </si>
  <si>
    <t>Background Firing Rate</t>
  </si>
  <si>
    <t>Background Interspike Interval</t>
  </si>
  <si>
    <t>Percent of Spikes Occurring in Bursts</t>
  </si>
  <si>
    <t>Burst Frequency</t>
  </si>
  <si>
    <t>Cell</t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</si>
  <si>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</si>
  <si>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</si>
  <si>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</si>
  <si>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</si>
  <si>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</si>
  <si>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</si>
  <si>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</si>
  <si>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</si>
  <si>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</si>
  <si>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</si>
  <si>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</si>
  <si>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</si>
  <si>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</si>
  <si>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</si>
  <si>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</si>
  <si>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</si>
  <si>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</si>
  <si>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</si>
  <si>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</si>
  <si>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</si>
  <si>
    <t>Unit</t>
  </si>
  <si>
    <t>Non-Wave-Burst Duration</t>
  </si>
  <si>
    <t>Non-Wave-Burst Firing Rate</t>
  </si>
  <si>
    <t>Spikes Per Non-Wave-Burst</t>
  </si>
  <si>
    <t>Wave-Burst Firing Rate</t>
  </si>
  <si>
    <t>Spikes Per Wave-Burst</t>
  </si>
  <si>
    <t>DTA_Dark_Normalized</t>
  </si>
  <si>
    <t>WT_Normalized</t>
  </si>
  <si>
    <t>Percent Wave-Burst Time &gt;10 Hz</t>
  </si>
  <si>
    <t>Wave-Burst Interspike Interval</t>
  </si>
  <si>
    <t>Non-Wave-Burst Interspike Interval</t>
  </si>
  <si>
    <t>Percent Non-Wave-Burst Time &gt;10 Hz</t>
  </si>
  <si>
    <t>DTA_Normalized</t>
  </si>
  <si>
    <t>DTA_Normalized_SEM</t>
  </si>
  <si>
    <t>% Change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</si>
  <si>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</si>
  <si>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</si>
  <si>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</si>
  <si>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</si>
  <si>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</si>
  <si>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</si>
  <si>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</si>
  <si>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</si>
  <si>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P-Value</t>
  </si>
  <si>
    <t>Corner Row</t>
  </si>
  <si>
    <t>Corner Column</t>
  </si>
  <si>
    <t>Count</t>
  </si>
  <si>
    <t>WT_Dark Range</t>
  </si>
  <si>
    <t>DTA_Dark Range</t>
  </si>
  <si>
    <t>WT_Dark_Normalized Range</t>
  </si>
  <si>
    <t>DTA_Dark_Normalized Range</t>
  </si>
  <si>
    <t>WT_Dark Avg</t>
  </si>
  <si>
    <t>WT_Dark SEM</t>
  </si>
  <si>
    <t>DTA_Dark Avg</t>
  </si>
  <si>
    <t>DTA_Dark SEM</t>
  </si>
  <si>
    <t>Property</t>
  </si>
  <si>
    <t>Property rows:</t>
  </si>
  <si>
    <t>Property columns:</t>
  </si>
  <si>
    <t>Wave-Burst Duration</t>
  </si>
  <si>
    <t>Value</t>
  </si>
  <si>
    <t>Comments</t>
  </si>
  <si>
    <t>1 - Paired
2 - Two-sample equal variance (homoscedastic)
3 - Two-sample unequal variance (heteroscedastic)</t>
  </si>
  <si>
    <t>T-Test Type</t>
  </si>
  <si>
    <t>T-Test Tails</t>
  </si>
  <si>
    <t>1 - One-tailed distribution
2 - Two-tailed distribution</t>
  </si>
  <si>
    <t>WT_Normalized_SEM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</si>
</sst>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Border="1" applyAlignment="1">
      <alignment horizontal="center" vertical="center"/>
    </xf>
    <xf numFmtId="0" fontId="6" fillId="3" borderId="9" xfId="2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3" fillId="2" borderId="9" xfId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7" fillId="4" borderId="0" xfId="3" applyBorder="1" applyAlignment="1">
      <alignment horizontal="center" vertical="center"/>
    </xf>
    <xf numFmtId="0" fontId="7" fillId="4" borderId="9" xfId="3" applyBorder="1" applyAlignment="1">
      <alignment horizontal="center" vertical="center"/>
    </xf>
    <xf numFmtId="0" fontId="16" fillId="4" borderId="4" xfId="3" applyFont="1" applyBorder="1" applyAlignment="1">
      <alignment horizontal="left" vertical="center"/>
    </xf>
    <xf numFmtId="0" fontId="15" fillId="3" borderId="4" xfId="2" applyFont="1" applyBorder="1" applyAlignment="1">
      <alignment horizontal="left" vertical="center"/>
    </xf>
    <xf numFmtId="0" fontId="17" fillId="2" borderId="4" xfId="1" applyFont="1" applyBorder="1" applyAlignment="1">
      <alignment horizontal="left" vertical="center"/>
    </xf>
    <xf numFmtId="0" fontId="17" fillId="2" borderId="3" xfId="1" applyFont="1" applyBorder="1" applyAlignment="1">
      <alignment horizontal="left" vertical="center"/>
    </xf>
    <xf numFmtId="0" fontId="16" fillId="4" borderId="10" xfId="3" applyFont="1" applyBorder="1" applyAlignment="1">
      <alignment horizontal="left" vertical="center"/>
    </xf>
    <xf numFmtId="0" fontId="7" fillId="4" borderId="11" xfId="3" applyBorder="1" applyAlignment="1">
      <alignment horizontal="center" vertical="center"/>
    </xf>
    <xf numFmtId="0" fontId="7" fillId="4" borderId="12" xfId="3" applyBorder="1" applyAlignment="1">
      <alignment horizontal="center" vertical="center"/>
    </xf>
    <xf numFmtId="0" fontId="15" fillId="3" borderId="10" xfId="2" applyFont="1" applyBorder="1" applyAlignment="1">
      <alignment horizontal="left" vertical="center"/>
    </xf>
    <xf numFmtId="0" fontId="6" fillId="3" borderId="11" xfId="2" applyBorder="1" applyAlignment="1">
      <alignment horizontal="center" vertical="center"/>
    </xf>
    <xf numFmtId="0" fontId="6" fillId="3" borderId="12" xfId="2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6" fillId="4" borderId="6" xfId="3" applyFont="1" applyBorder="1" applyAlignment="1">
      <alignment horizontal="left" vertical="center"/>
    </xf>
    <xf numFmtId="0" fontId="7" fillId="4" borderId="13" xfId="3" applyBorder="1" applyAlignment="1">
      <alignment horizontal="center" vertical="center"/>
    </xf>
    <xf numFmtId="0" fontId="7" fillId="4" borderId="5" xfId="3" applyBorder="1" applyAlignment="1">
      <alignment horizontal="center" vertical="center"/>
    </xf>
    <xf numFmtId="164" fontId="7" fillId="4" borderId="13" xfId="3" applyNumberFormat="1" applyBorder="1" applyAlignment="1">
      <alignment horizontal="center" vertical="center"/>
    </xf>
    <xf numFmtId="164" fontId="7" fillId="4" borderId="0" xfId="3" applyNumberFormat="1" applyBorder="1" applyAlignment="1">
      <alignment horizontal="center" vertical="center"/>
    </xf>
    <xf numFmtId="164" fontId="7" fillId="4" borderId="11" xfId="3" applyNumberFormat="1" applyBorder="1" applyAlignment="1">
      <alignment horizontal="center" vertical="center"/>
    </xf>
    <xf numFmtId="164" fontId="6" fillId="3" borderId="0" xfId="2" applyNumberFormat="1" applyBorder="1" applyAlignment="1">
      <alignment horizontal="center" vertical="center"/>
    </xf>
    <xf numFmtId="164" fontId="6" fillId="3" borderId="11" xfId="2" applyNumberFormat="1" applyBorder="1" applyAlignment="1">
      <alignment horizontal="center" vertical="center"/>
    </xf>
    <xf numFmtId="164" fontId="3" fillId="2" borderId="0" xfId="1" applyNumberFormat="1" applyBorder="1" applyAlignment="1">
      <alignment horizontal="center" vertical="center"/>
    </xf>
    <xf numFmtId="164" fontId="3" fillId="2" borderId="2" xfId="1" applyNumberFormat="1" applyBorder="1" applyAlignment="1">
      <alignment horizontal="center" vertical="center"/>
    </xf>
    <xf numFmtId="0" fontId="7" fillId="4" borderId="13" xfId="3" applyNumberFormat="1" applyBorder="1" applyAlignment="1">
      <alignment horizontal="center" vertical="center"/>
    </xf>
    <xf numFmtId="1" fontId="7" fillId="4" borderId="14" xfId="3" applyNumberFormat="1" applyBorder="1" applyAlignment="1">
      <alignment horizontal="center" vertical="center"/>
    </xf>
    <xf numFmtId="1" fontId="6" fillId="3" borderId="14" xfId="2" applyNumberFormat="1" applyBorder="1" applyAlignment="1">
      <alignment horizontal="center" vertical="center"/>
    </xf>
    <xf numFmtId="0" fontId="7" fillId="4" borderId="0" xfId="3" applyNumberFormat="1" applyBorder="1" applyAlignment="1">
      <alignment horizontal="center" vertical="center"/>
    </xf>
    <xf numFmtId="0" fontId="7" fillId="4" borderId="11" xfId="3" applyNumberFormat="1" applyBorder="1" applyAlignment="1">
      <alignment horizontal="center" vertical="center"/>
    </xf>
    <xf numFmtId="0" fontId="6" fillId="3" borderId="0" xfId="2" applyNumberFormat="1" applyBorder="1" applyAlignment="1">
      <alignment horizontal="center" vertical="center"/>
    </xf>
    <xf numFmtId="0" fontId="6" fillId="3" borderId="11" xfId="2" applyNumberFormat="1" applyBorder="1" applyAlignment="1">
      <alignment horizontal="center" vertical="center"/>
    </xf>
    <xf numFmtId="0" fontId="3" fillId="2" borderId="0" xfId="1" applyNumberFormat="1" applyBorder="1" applyAlignment="1">
      <alignment horizontal="center" vertical="center"/>
    </xf>
    <xf numFmtId="0" fontId="3" fillId="2" borderId="2" xfId="1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7" fillId="4" borderId="7" xfId="3" applyNumberFormat="1" applyBorder="1" applyAlignment="1">
      <alignment horizontal="center" vertical="center"/>
    </xf>
    <xf numFmtId="1" fontId="7" fillId="4" borderId="5" xfId="3" applyNumberFormat="1" applyBorder="1" applyAlignment="1">
      <alignment horizontal="center" vertical="center"/>
    </xf>
    <xf numFmtId="1" fontId="7" fillId="4" borderId="8" xfId="3" applyNumberFormat="1" applyBorder="1" applyAlignment="1">
      <alignment horizontal="center" vertical="center"/>
    </xf>
    <xf numFmtId="1" fontId="7" fillId="4" borderId="9" xfId="3" applyNumberFormat="1" applyBorder="1" applyAlignment="1">
      <alignment horizontal="center" vertical="center"/>
    </xf>
    <xf numFmtId="1" fontId="7" fillId="4" borderId="12" xfId="3" applyNumberFormat="1" applyBorder="1" applyAlignment="1">
      <alignment horizontal="center" vertical="center"/>
    </xf>
    <xf numFmtId="1" fontId="6" fillId="3" borderId="8" xfId="2" applyNumberFormat="1" applyBorder="1" applyAlignment="1">
      <alignment horizontal="center" vertical="center"/>
    </xf>
    <xf numFmtId="1" fontId="6" fillId="3" borderId="9" xfId="2" applyNumberFormat="1" applyBorder="1" applyAlignment="1">
      <alignment horizontal="center" vertical="center"/>
    </xf>
    <xf numFmtId="1" fontId="6" fillId="3" borderId="12" xfId="2" applyNumberFormat="1" applyBorder="1" applyAlignment="1">
      <alignment horizontal="center" vertical="center"/>
    </xf>
    <xf numFmtId="1" fontId="3" fillId="2" borderId="8" xfId="1" applyNumberFormat="1" applyBorder="1" applyAlignment="1">
      <alignment horizontal="center" vertical="center"/>
    </xf>
    <xf numFmtId="1" fontId="3" fillId="2" borderId="9" xfId="1" applyNumberFormat="1" applyBorder="1" applyAlignment="1">
      <alignment horizontal="center" vertical="center"/>
    </xf>
    <xf numFmtId="1" fontId="3" fillId="2" borderId="15" xfId="1" applyNumberFormat="1" applyBorder="1" applyAlignment="1">
      <alignment horizontal="center" vertical="center"/>
    </xf>
    <xf numFmtId="1" fontId="3" fillId="2" borderId="1" xfId="1" applyNumberFormat="1" applyBorder="1" applyAlignment="1">
      <alignment horizontal="center" vertical="center"/>
    </xf>
    <xf numFmtId="164" fontId="7" fillId="4" borderId="7" xfId="3" applyNumberFormat="1" applyBorder="1" applyAlignment="1">
      <alignment horizontal="center" vertical="center"/>
    </xf>
    <xf numFmtId="164" fontId="7" fillId="4" borderId="5" xfId="3" applyNumberFormat="1" applyBorder="1" applyAlignment="1">
      <alignment horizontal="center" vertical="center"/>
    </xf>
    <xf numFmtId="164" fontId="7" fillId="4" borderId="8" xfId="3" applyNumberFormat="1" applyBorder="1" applyAlignment="1">
      <alignment horizontal="center" vertical="center"/>
    </xf>
    <xf numFmtId="164" fontId="7" fillId="4" borderId="9" xfId="3" applyNumberFormat="1" applyBorder="1" applyAlignment="1">
      <alignment horizontal="center" vertical="center"/>
    </xf>
    <xf numFmtId="164" fontId="7" fillId="4" borderId="14" xfId="3" applyNumberFormat="1" applyBorder="1" applyAlignment="1">
      <alignment horizontal="center" vertical="center"/>
    </xf>
    <xf numFmtId="164" fontId="7" fillId="4" borderId="12" xfId="3" applyNumberFormat="1" applyBorder="1" applyAlignment="1">
      <alignment horizontal="center" vertical="center"/>
    </xf>
    <xf numFmtId="164" fontId="6" fillId="3" borderId="8" xfId="2" applyNumberFormat="1" applyBorder="1" applyAlignment="1">
      <alignment horizontal="center" vertical="center"/>
    </xf>
    <xf numFmtId="164" fontId="6" fillId="3" borderId="9" xfId="2" applyNumberFormat="1" applyBorder="1" applyAlignment="1">
      <alignment horizontal="center" vertical="center"/>
    </xf>
    <xf numFmtId="164" fontId="6" fillId="3" borderId="14" xfId="2" applyNumberFormat="1" applyBorder="1" applyAlignment="1">
      <alignment horizontal="center" vertical="center"/>
    </xf>
    <xf numFmtId="164" fontId="6" fillId="3" borderId="12" xfId="2" applyNumberFormat="1" applyBorder="1" applyAlignment="1">
      <alignment horizontal="center" vertical="center"/>
    </xf>
    <xf numFmtId="164" fontId="3" fillId="2" borderId="8" xfId="1" applyNumberFormat="1" applyBorder="1" applyAlignment="1">
      <alignment horizontal="center" vertical="center"/>
    </xf>
    <xf numFmtId="164" fontId="3" fillId="2" borderId="9" xfId="1" applyNumberFormat="1" applyBorder="1" applyAlignment="1">
      <alignment horizontal="center" vertical="center"/>
    </xf>
    <xf numFmtId="164" fontId="3" fillId="2" borderId="15" xfId="1" applyNumberFormat="1" applyBorder="1" applyAlignment="1">
      <alignment horizontal="center" vertical="center"/>
    </xf>
    <xf numFmtId="164" fontId="3" fillId="2" borderId="1" xfId="1" applyNumberFormat="1" applyBorder="1" applyAlignment="1">
      <alignment horizontal="center" vertical="center"/>
    </xf>
    <xf numFmtId="0" fontId="7" fillId="4" borderId="7" xfId="3" applyNumberFormat="1" applyBorder="1" applyAlignment="1">
      <alignment horizontal="center" vertical="center"/>
    </xf>
    <xf numFmtId="0" fontId="7" fillId="4" borderId="5" xfId="3" applyNumberFormat="1" applyBorder="1" applyAlignment="1">
      <alignment horizontal="center" vertical="center"/>
    </xf>
    <xf numFmtId="0" fontId="7" fillId="4" borderId="8" xfId="3" applyNumberFormat="1" applyBorder="1" applyAlignment="1">
      <alignment horizontal="center" vertical="center"/>
    </xf>
    <xf numFmtId="0" fontId="7" fillId="4" borderId="9" xfId="3" applyNumberFormat="1" applyBorder="1" applyAlignment="1">
      <alignment horizontal="center" vertical="center"/>
    </xf>
    <xf numFmtId="0" fontId="7" fillId="4" borderId="14" xfId="3" applyNumberFormat="1" applyBorder="1" applyAlignment="1">
      <alignment horizontal="center" vertical="center"/>
    </xf>
    <xf numFmtId="0" fontId="7" fillId="4" borderId="12" xfId="3" applyNumberFormat="1" applyBorder="1" applyAlignment="1">
      <alignment horizontal="center" vertical="center"/>
    </xf>
    <xf numFmtId="0" fontId="6" fillId="3" borderId="8" xfId="2" applyNumberFormat="1" applyBorder="1" applyAlignment="1">
      <alignment horizontal="center" vertical="center"/>
    </xf>
    <xf numFmtId="0" fontId="6" fillId="3" borderId="9" xfId="2" applyNumberFormat="1" applyBorder="1" applyAlignment="1">
      <alignment horizontal="center" vertical="center"/>
    </xf>
    <xf numFmtId="0" fontId="6" fillId="3" borderId="14" xfId="2" applyNumberFormat="1" applyBorder="1" applyAlignment="1">
      <alignment horizontal="center" vertical="center"/>
    </xf>
    <xf numFmtId="0" fontId="6" fillId="3" borderId="12" xfId="2" applyNumberFormat="1" applyBorder="1" applyAlignment="1">
      <alignment horizontal="center" vertical="center"/>
    </xf>
    <xf numFmtId="0" fontId="3" fillId="2" borderId="8" xfId="1" applyNumberFormat="1" applyBorder="1" applyAlignment="1">
      <alignment horizontal="center" vertical="center"/>
    </xf>
    <xf numFmtId="0" fontId="3" fillId="2" borderId="9" xfId="1" applyNumberFormat="1" applyBorder="1" applyAlignment="1">
      <alignment horizontal="center" vertical="center"/>
    </xf>
    <xf numFmtId="0" fontId="3" fillId="2" borderId="15" xfId="1" applyNumberFormat="1" applyBorder="1" applyAlignment="1">
      <alignment horizontal="center" vertical="center"/>
    </xf>
    <xf numFmtId="0" fontId="3" fillId="2" borderId="1" xfId="1" applyNumberForma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14" fillId="7" borderId="2" xfId="0" applyFont="1" applyFill="1" applyBorder="1" applyAlignment="1">
      <alignment horizontal="center" vertical="center"/>
    </xf>
    <xf numFmtId="0" fontId="8" fillId="4" borderId="0" xfId="3" applyFont="1" applyAlignment="1">
      <alignment horizontal="center" vertical="center" textRotation="90"/>
    </xf>
    <xf numFmtId="0" fontId="9" fillId="3" borderId="0" xfId="2" applyFont="1" applyAlignment="1">
      <alignment horizontal="center" vertical="center" textRotation="90"/>
    </xf>
    <xf numFmtId="0" fontId="10" fillId="2" borderId="0" xfId="1" applyFont="1" applyAlignment="1">
      <alignment horizontal="center" vertical="center" textRotation="90"/>
    </xf>
    <xf numFmtId="0" fontId="11" fillId="6" borderId="0" xfId="0" applyFont="1" applyFill="1" applyBorder="1" applyAlignment="1">
      <alignment horizontal="center" vertical="center"/>
    </xf>
    <xf numFmtId="0" fontId="8" fillId="4" borderId="0" xfId="3" applyFont="1" applyBorder="1" applyAlignment="1">
      <alignment horizontal="center" vertical="center"/>
    </xf>
    <xf numFmtId="0" fontId="9" fillId="3" borderId="0" xfId="2" applyFont="1" applyBorder="1" applyAlignment="1">
      <alignment horizontal="center" vertical="center"/>
    </xf>
    <xf numFmtId="0" fontId="10" fillId="2" borderId="0" xfId="1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u/>
      </font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</c:spPr>
          </c:dPt>
          <c:errBars>
            <c:errBarType val="both"/>
            <c:errValType val="cust"/>
            <c:noEndCap val="0"/>
            <c:pl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Figures!$H$7:$I$7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2870464"/>
        <c:axId val="-10628731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Figures!$R$52:$S$52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Figures!$R$53:$S$53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Figures!$R$54:$S$54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Figures!$R$55:$S$55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Figures!$R$56:$S$56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Figures!$R$57:$S$57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Figures!$R$58:$S$58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870464"/>
        <c:axId val="-1062873184"/>
      </c:lineChart>
      <c:catAx>
        <c:axId val="-106287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73184"/>
        <c:crosses val="autoZero"/>
        <c:auto val="1"/>
        <c:lblAlgn val="ctr"/>
        <c:lblOffset val="100"/>
        <c:noMultiLvlLbl val="0"/>
      </c:catAx>
      <c:valAx>
        <c:axId val="-1062873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704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Figures!$X$50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Figures!$X$50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2878624"/>
        <c:axId val="-106288025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Figures!$Y$52:$Z$52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Figures!$Y$53:$Z$53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Figures!$Y$54:$Z$54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Figures!$Y$55:$Z$55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Figures!$Y$56:$Z$56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Figures!$Y$57:$Z$57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Figures!$Y$58:$Z$58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878624"/>
        <c:axId val="-1062880256"/>
      </c:lineChart>
      <c:catAx>
        <c:axId val="-10628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80256"/>
        <c:crosses val="autoZero"/>
        <c:auto val="1"/>
        <c:lblAlgn val="ctr"/>
        <c:lblOffset val="100"/>
        <c:noMultiLvlLbl val="0"/>
      </c:catAx>
      <c:valAx>
        <c:axId val="-10628802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78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Figures!$AE$50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Figures!$AE$50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Figures!$H$9:$I$9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2869920"/>
        <c:axId val="-10628688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Figures!$AF$52:$AG$52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Figures!$AF$53:$AG$53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Figures!$AF$54:$AG$54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Figures!$AF$55:$AG$55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Figures!$AF$56:$AG$56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Figures!$AF$57:$AG$57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Figures!$AF$58:$AG$58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869920"/>
        <c:axId val="-1062868832"/>
      </c:lineChart>
      <c:catAx>
        <c:axId val="-106286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8832"/>
        <c:crosses val="autoZero"/>
        <c:auto val="1"/>
        <c:lblAlgn val="ctr"/>
        <c:lblOffset val="100"/>
        <c:noMultiLvlLbl val="0"/>
      </c:catAx>
      <c:valAx>
        <c:axId val="-1062868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9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Figures!$AL$50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Figures!$AL$50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Figures!$H$10:$I$10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794272"/>
        <c:axId val="-10647964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Figures!$AM$52:$AN$52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Figures!$AM$53:$AN$53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Figures!$AM$54:$AN$54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Figures!$AM$55:$AN$55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Figures!$AM$56:$AN$56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Figures!$AM$57:$AN$57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Figures!$AM$58:$AN$58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794272"/>
        <c:axId val="-1064796448"/>
      </c:lineChart>
      <c:catAx>
        <c:axId val="-10647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6448"/>
        <c:crosses val="autoZero"/>
        <c:auto val="1"/>
        <c:lblAlgn val="ctr"/>
        <c:lblOffset val="100"/>
        <c:noMultiLvlLbl val="0"/>
      </c:catAx>
      <c:valAx>
        <c:axId val="-106479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42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Figures!$H$11:$I$11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774688"/>
        <c:axId val="-10647812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Figures!$AT$52:$AU$52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Figures!$AT$53:$AU$53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Figures!$AT$54:$AU$54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Figures!$AT$55:$AU$55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Figures!$AT$56:$AU$56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Figures!$AT$57:$AU$57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Figures!$AT$58:$AU$58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774688"/>
        <c:axId val="-1064781216"/>
      </c:lineChart>
      <c:catAx>
        <c:axId val="-106477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81216"/>
        <c:crosses val="autoZero"/>
        <c:auto val="1"/>
        <c:lblAlgn val="ctr"/>
        <c:lblOffset val="100"/>
        <c:noMultiLvlLbl val="0"/>
      </c:catAx>
      <c:valAx>
        <c:axId val="-1064781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74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Figures!$Q$82:$U$82</c:f>
          <c:strCache>
            <c:ptCount val="5"/>
            <c:pt idx="0">
              <c:v>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Figures!$Q$82</c:f>
              <c:strCache>
                <c:ptCount val="1"/>
                <c:pt idx="0">
                  <c:v>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Figures!$H$13:$I$13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779040"/>
        <c:axId val="-10647915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Figures!$R$84:$S$84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Figures!$R$85:$S$85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Figures!$R$86:$S$86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Figures!$R$87:$S$87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Figures!$R$88:$S$88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Figures!$R$89:$S$89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Figures!$R$90:$S$90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779040"/>
        <c:axId val="-1064791552"/>
      </c:lineChart>
      <c:catAx>
        <c:axId val="-106477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1552"/>
        <c:crosses val="autoZero"/>
        <c:auto val="1"/>
        <c:lblAlgn val="ctr"/>
        <c:lblOffset val="100"/>
        <c:noMultiLvlLbl val="0"/>
      </c:catAx>
      <c:valAx>
        <c:axId val="-1064791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790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Figures!$X$82:$AA$82</c:f>
          <c:strCache>
            <c:ptCount val="4"/>
            <c:pt idx="0">
              <c:v>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Figures!$X$82</c:f>
              <c:strCache>
                <c:ptCount val="1"/>
                <c:pt idx="0">
                  <c:v>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Figures!$H$14:$I$14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773600"/>
        <c:axId val="-10647959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Figures!$Y$84:$Z$84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Figures!$Y$85:$Z$85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Figures!$Y$86:$Z$86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Figures!$Y$87:$Z$87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Figures!$Y$88:$Z$88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Figures!$Y$89:$Z$89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Figures!$Y$90:$Z$90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773600"/>
        <c:axId val="-1064795904"/>
      </c:lineChart>
      <c:catAx>
        <c:axId val="-106477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5904"/>
        <c:crosses val="autoZero"/>
        <c:auto val="1"/>
        <c:lblAlgn val="ctr"/>
        <c:lblOffset val="100"/>
        <c:noMultiLvlLbl val="0"/>
      </c:catAx>
      <c:valAx>
        <c:axId val="-106479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736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Figures!$AE$82:$AH$82</c:f>
          <c:strCache>
            <c:ptCount val="4"/>
            <c:pt idx="0">
              <c:v>Wave-Burst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Figures!$AE$82</c:f>
              <c:strCache>
                <c:ptCount val="1"/>
                <c:pt idx="0">
                  <c:v>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Figures!$H$15:$I$15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794816"/>
        <c:axId val="-10647937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Figures!$AF$84:$AG$84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Figures!$AF$85:$AG$85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Figures!$AF$86:$AG$86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Figures!$AF$87:$AG$87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Figures!$AF$88:$AG$88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Figures!$AF$89:$AG$89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Figures!$AF$90:$AG$90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794816"/>
        <c:axId val="-1064793728"/>
      </c:lineChart>
      <c:catAx>
        <c:axId val="-106479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3728"/>
        <c:crosses val="autoZero"/>
        <c:auto val="1"/>
        <c:lblAlgn val="ctr"/>
        <c:lblOffset val="100"/>
        <c:noMultiLvlLbl val="0"/>
      </c:catAx>
      <c:valAx>
        <c:axId val="-1064793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79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Figures!$AL$82:$AO$82</c:f>
          <c:strCache>
            <c:ptCount val="4"/>
            <c:pt idx="0">
              <c:v>Percent Wave-Burst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Figures!$AL$82</c:f>
              <c:strCache>
                <c:ptCount val="1"/>
                <c:pt idx="0">
                  <c:v>Percent 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Figures!$H$16:$I$16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5315056"/>
        <c:axId val="-10653112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Figures!$AM$84:$AN$84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Figures!$AM$85:$AN$85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Figures!$AM$86:$AN$86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Figures!$AM$87:$AN$87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Figures!$AM$88:$AN$88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Figures!$AM$89:$AN$89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Figures!$AM$90:$AN$90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5315056"/>
        <c:axId val="-1065311248"/>
      </c:lineChart>
      <c:catAx>
        <c:axId val="-106531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5311248"/>
        <c:crosses val="autoZero"/>
        <c:auto val="1"/>
        <c:lblAlgn val="ctr"/>
        <c:lblOffset val="100"/>
        <c:noMultiLvlLbl val="0"/>
      </c:catAx>
      <c:valAx>
        <c:axId val="-1065311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53150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Figures!$AS$82:$AV$82</c:f>
          <c:strCache>
            <c:ptCount val="4"/>
            <c:pt idx="0">
              <c:v>Spikes Per Wave-Burst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Figures!$AS$82</c:f>
              <c:strCache>
                <c:ptCount val="1"/>
                <c:pt idx="0">
                  <c:v>Spikes Per 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Figures!$H$17:$I$17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2867744"/>
        <c:axId val="-5872743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Figures!$AT$84:$AU$84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Figures!$AT$85:$AU$85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Figures!$AT$86:$AU$86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Figures!$AT$87:$AU$87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Figures!$AT$88:$AU$88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Figures!$AT$89:$AU$89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Figures!$AT$90:$AU$90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867744"/>
        <c:axId val="-587274384"/>
      </c:lineChart>
      <c:catAx>
        <c:axId val="-106286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4384"/>
        <c:crosses val="autoZero"/>
        <c:auto val="1"/>
        <c:lblAlgn val="ctr"/>
        <c:lblOffset val="100"/>
        <c:noMultiLvlLbl val="0"/>
      </c:catAx>
      <c:valAx>
        <c:axId val="-587274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77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Figures!$Q$114:$U$114</c:f>
          <c:strCache>
            <c:ptCount val="5"/>
            <c:pt idx="0">
              <c:v>Non-Wave-Burst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Figures!$Q$114</c:f>
              <c:strCache>
                <c:ptCount val="1"/>
                <c:pt idx="0">
                  <c:v>Non-Wave-Burst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80368"/>
        <c:axId val="-5872640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Figures!$R$116:$S$116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Figures!$R$117:$S$117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Figures!$R$118:$S$118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Figures!$R$119:$S$119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Figures!$R$120:$S$120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Figures!$R$121:$S$121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Figures!$R$122:$S$122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80368"/>
        <c:axId val="-587264048"/>
      </c:lineChart>
      <c:catAx>
        <c:axId val="-58728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64048"/>
        <c:crosses val="autoZero"/>
        <c:auto val="1"/>
        <c:lblAlgn val="ctr"/>
        <c:lblOffset val="100"/>
        <c:noMultiLvlLbl val="0"/>
      </c:catAx>
      <c:valAx>
        <c:axId val="-587264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80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Figures!$X$114:$AA$114</c:f>
          <c:strCache>
            <c:ptCount val="4"/>
            <c:pt idx="0">
              <c:v>Non-Wave-Burst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Figures!$X$114</c:f>
              <c:strCache>
                <c:ptCount val="1"/>
                <c:pt idx="0">
                  <c:v>Non-Wave-Burst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74928"/>
        <c:axId val="-5872841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Figures!$Y$116:$Z$116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Figures!$Y$117:$Z$117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Figures!$Y$118:$Z$118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Figures!$Y$119:$Z$119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Figures!$Y$120:$Z$120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Figures!$Y$121:$Z$121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Figures!$Y$122:$Z$122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74928"/>
        <c:axId val="-587284176"/>
      </c:lineChart>
      <c:catAx>
        <c:axId val="-5872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84176"/>
        <c:crosses val="autoZero"/>
        <c:auto val="1"/>
        <c:lblAlgn val="ctr"/>
        <c:lblOffset val="100"/>
        <c:noMultiLvlLbl val="0"/>
      </c:catAx>
      <c:valAx>
        <c:axId val="-587284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4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Figures!$AE$114:$AH$114</c:f>
          <c:strCache>
            <c:ptCount val="4"/>
            <c:pt idx="0">
              <c:v>Non-Wave-Burst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Figures!$AE$114</c:f>
              <c:strCache>
                <c:ptCount val="1"/>
                <c:pt idx="0">
                  <c:v>Non-Wave-Burst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Figures!$H$20:$I$20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77648"/>
        <c:axId val="-5872705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Figures!$AF$116:$AG$116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Figures!$AF$117:$AG$117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Figures!$AF$118:$AG$118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Figures!$AF$119:$AG$119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Figures!$AF$120:$AG$120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Figures!$AF$121:$AG$121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Figures!$AF$122:$AG$122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77648"/>
        <c:axId val="-587270576"/>
      </c:lineChart>
      <c:catAx>
        <c:axId val="-58727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0576"/>
        <c:crosses val="autoZero"/>
        <c:auto val="1"/>
        <c:lblAlgn val="ctr"/>
        <c:lblOffset val="100"/>
        <c:noMultiLvlLbl val="0"/>
      </c:catAx>
      <c:valAx>
        <c:axId val="-5872705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76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Figures!$AL$114:$AO$114</c:f>
          <c:strCache>
            <c:ptCount val="4"/>
            <c:pt idx="0">
              <c:v>Percent Non-Wave-Burst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Figures!$AL$114</c:f>
              <c:strCache>
                <c:ptCount val="1"/>
                <c:pt idx="0">
                  <c:v>Percent Non-Wave-Burst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Figures!$H$21:$I$21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72752"/>
        <c:axId val="-58725371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Figures!$AM$116:$AN$116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Figures!$AM$117:$AN$117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Figures!$AM$118:$AN$118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Figures!$AM$119:$AN$119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Figures!$AM$120:$AN$120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Figures!$AM$121:$AN$121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Figures!$AM$122:$AN$122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72752"/>
        <c:axId val="-587253712"/>
      </c:lineChart>
      <c:catAx>
        <c:axId val="-58727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53712"/>
        <c:crosses val="autoZero"/>
        <c:auto val="1"/>
        <c:lblAlgn val="ctr"/>
        <c:lblOffset val="100"/>
        <c:noMultiLvlLbl val="0"/>
      </c:catAx>
      <c:valAx>
        <c:axId val="-587253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27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Figures!$AS$114:$AV$114</c:f>
          <c:strCache>
            <c:ptCount val="4"/>
            <c:pt idx="0">
              <c:v>Spikes Per Non-Wave-Burst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Figures!$AS$114</c:f>
              <c:strCache>
                <c:ptCount val="1"/>
                <c:pt idx="0">
                  <c:v>Spikes Per Non-Wave-Burst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84720"/>
        <c:axId val="-58727112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Figures!$AT$116:$AU$116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Figures!$AT$117:$AU$117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Figures!$AT$118:$AU$118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Figures!$AT$119:$AU$119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Figures!$AT$120:$AU$120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Figures!$AT$121:$AU$121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Figures!$AT$122:$AU$122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84720"/>
        <c:axId val="-587271120"/>
      </c:lineChart>
      <c:catAx>
        <c:axId val="-58728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1120"/>
        <c:crosses val="autoZero"/>
        <c:auto val="1"/>
        <c:lblAlgn val="ctr"/>
        <c:lblOffset val="100"/>
        <c:noMultiLvlLbl val="0"/>
      </c:catAx>
      <c:valAx>
        <c:axId val="-5872711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847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Figures!$AZ$50</c:f>
          <c:strCache>
            <c:ptCount val="1"/>
            <c:pt idx="0">
              <c:v>Percent of Bursts Occurring In Waves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Figures!$AZ$50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Figures!$H$12:$I$12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87282000"/>
        <c:axId val="-5872722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Figures!$BA$52:$BB$52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Figures!$BA$53:$BB$53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Figures!$BA$54:$BB$54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Figures!$BA$55:$BB$55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Figures!$BA$56:$BB$56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Figures!$BA$57:$BB$57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Figures!$BA$58:$BB$58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87282000"/>
        <c:axId val="-587272208"/>
      </c:lineChart>
      <c:catAx>
        <c:axId val="-58728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72208"/>
        <c:crosses val="autoZero"/>
        <c:auto val="1"/>
        <c:lblAlgn val="ctr"/>
        <c:lblOffset val="100"/>
        <c:noMultiLvlLbl val="0"/>
      </c:catAx>
      <c:valAx>
        <c:axId val="-587272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820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Percent Change In RGC Firing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Figures!$K$6</c:f>
              <c:strCache>
                <c:ptCount val="1"/>
                <c:pt idx="0">
                  <c:v>DTA_Normalized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4774810427725825E-2"/>
                  <c:y val="2.099737533052840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175621028307337E-2"/>
                  <c:y val="-2.17862406982160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9283651068746386E-2"/>
                  <c:y val="3.742847652500607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9283833021738747E-2"/>
                  <c:y val="5.3337450465751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9324090121316313E-3"/>
                  <c:y val="2.66715323686139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9.2432120161755355E-3"/>
                  <c:y val="2.37670825906128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3.235124205661467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6.932409012131715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4.852686308492184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>
                <c:manualLayout>
                  <c:x val="0.12247255921432698"/>
                  <c:y val="3.742847653807781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9.2432120161756205E-3"/>
                  <c:y val="2.376708259061374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>
                <c:manualLayout>
                  <c:x val="3.6972848064702482E-2"/>
                  <c:y val="1.871423826032441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0.12940496822645853"/>
                  <c:y val="2.95684964513125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Figures!$A$7:$A$22</c:f>
              <c:strCache>
                <c:ptCount val="16"/>
                <c:pt idx="0">
                  <c:v>Background Firing Rate</c:v>
                </c:pt>
                <c:pt idx="1">
                  <c:v>Background Interspike Interval</c:v>
                </c:pt>
                <c:pt idx="2">
                  <c:v>Percent of Spikes Occurring in Bursts</c:v>
                </c:pt>
                <c:pt idx="3">
                  <c:v>Burst Frequency</c:v>
                </c:pt>
                <c:pt idx="4">
                  <c:v>Background Firing Rate</c:v>
                </c:pt>
                <c:pt idx="5">
                  <c:v>Percent of Bursts Occurring In Waves</c:v>
                </c:pt>
                <c:pt idx="6">
                  <c:v>Wave-Burst Duration</c:v>
                </c:pt>
                <c:pt idx="7">
                  <c:v>Wave-Burst Firing Rate</c:v>
                </c:pt>
                <c:pt idx="8">
                  <c:v>Wave-Burst Interspike Interval</c:v>
                </c:pt>
                <c:pt idx="9">
                  <c:v>Percent Wave-Burst Time &gt;10 Hz</c:v>
                </c:pt>
                <c:pt idx="10">
                  <c:v>Spikes Per Wave-Burst</c:v>
                </c:pt>
                <c:pt idx="11">
                  <c:v>Non-Wave-Burst Duration</c:v>
                </c:pt>
                <c:pt idx="12">
                  <c:v>Non-Wave-Burst Firing Rate</c:v>
                </c:pt>
                <c:pt idx="13">
                  <c:v>Non-Wave-Burst Interspike Interval</c:v>
                </c:pt>
                <c:pt idx="14">
                  <c:v>Percent Non-Wave-Burst Time &gt;10 Hz</c:v>
                </c:pt>
                <c:pt idx="15">
                  <c:v>Spikes Per Non-Wave-Burst</c:v>
                </c:pt>
              </c:strCache>
            </c:strRef>
          </c:cat>
          <c:val>
            <c:numRef>
              <c:f>Figures!$K$7:$K$22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-587279824"/>
        <c:axId val="-587262960"/>
      </c:barChart>
      <c:catAx>
        <c:axId val="-587279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87262960"/>
        <c:crossesAt val="0"/>
        <c:auto val="1"/>
        <c:lblAlgn val="ctr"/>
        <c:lblOffset val="400"/>
        <c:noMultiLvlLbl val="0"/>
      </c:catAx>
      <c:valAx>
        <c:axId val="-58726296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-5872798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10242" name="DeleteChk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</xdr:colOff>
      <xdr:row>33</xdr:row>
      <xdr:rowOff>1</xdr:rowOff>
    </xdr:from>
    <xdr:to>
      <xdr:col>19</xdr:col>
      <xdr:colOff>0</xdr:colOff>
      <xdr:row>47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33</xdr:row>
      <xdr:rowOff>0</xdr:rowOff>
    </xdr:from>
    <xdr:to>
      <xdr:col>26</xdr:col>
      <xdr:colOff>0</xdr:colOff>
      <xdr:row>47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609598</xdr:colOff>
      <xdr:row>33</xdr:row>
      <xdr:rowOff>0</xdr:rowOff>
    </xdr:from>
    <xdr:to>
      <xdr:col>33</xdr:col>
      <xdr:colOff>0</xdr:colOff>
      <xdr:row>47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33</xdr:row>
      <xdr:rowOff>0</xdr:rowOff>
    </xdr:from>
    <xdr:to>
      <xdr:col>40</xdr:col>
      <xdr:colOff>0</xdr:colOff>
      <xdr:row>47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47</xdr:col>
      <xdr:colOff>0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</xdr:colOff>
      <xdr:row>64</xdr:row>
      <xdr:rowOff>0</xdr:rowOff>
    </xdr:from>
    <xdr:to>
      <xdr:col>19</xdr:col>
      <xdr:colOff>0</xdr:colOff>
      <xdr:row>78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63</xdr:row>
      <xdr:rowOff>0</xdr:rowOff>
    </xdr:from>
    <xdr:to>
      <xdr:col>26</xdr:col>
      <xdr:colOff>0</xdr:colOff>
      <xdr:row>78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1</xdr:colOff>
      <xdr:row>62</xdr:row>
      <xdr:rowOff>0</xdr:rowOff>
    </xdr:from>
    <xdr:to>
      <xdr:col>33</xdr:col>
      <xdr:colOff>0</xdr:colOff>
      <xdr:row>77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1</xdr:colOff>
      <xdr:row>62</xdr:row>
      <xdr:rowOff>0</xdr:rowOff>
    </xdr:from>
    <xdr:to>
      <xdr:col>40</xdr:col>
      <xdr:colOff>0</xdr:colOff>
      <xdr:row>78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581025</xdr:colOff>
      <xdr:row>62</xdr:row>
      <xdr:rowOff>0</xdr:rowOff>
    </xdr:from>
    <xdr:to>
      <xdr:col>47</xdr:col>
      <xdr:colOff>0</xdr:colOff>
      <xdr:row>77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</xdr:colOff>
      <xdr:row>96</xdr:row>
      <xdr:rowOff>0</xdr:rowOff>
    </xdr:from>
    <xdr:to>
      <xdr:col>19</xdr:col>
      <xdr:colOff>0</xdr:colOff>
      <xdr:row>110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0</xdr:colOff>
      <xdr:row>95</xdr:row>
      <xdr:rowOff>0</xdr:rowOff>
    </xdr:from>
    <xdr:to>
      <xdr:col>26</xdr:col>
      <xdr:colOff>0</xdr:colOff>
      <xdr:row>110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94</xdr:row>
      <xdr:rowOff>0</xdr:rowOff>
    </xdr:from>
    <xdr:to>
      <xdr:col>32</xdr:col>
      <xdr:colOff>800099</xdr:colOff>
      <xdr:row>109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37</xdr:col>
      <xdr:colOff>1</xdr:colOff>
      <xdr:row>94</xdr:row>
      <xdr:rowOff>0</xdr:rowOff>
    </xdr:from>
    <xdr:to>
      <xdr:col>40</xdr:col>
      <xdr:colOff>0</xdr:colOff>
      <xdr:row>110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581025</xdr:colOff>
      <xdr:row>94</xdr:row>
      <xdr:rowOff>0</xdr:rowOff>
    </xdr:from>
    <xdr:to>
      <xdr:col>47</xdr:col>
      <xdr:colOff>0</xdr:colOff>
      <xdr:row>109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33</xdr:row>
      <xdr:rowOff>0</xdr:rowOff>
    </xdr:from>
    <xdr:to>
      <xdr:col>54</xdr:col>
      <xdr:colOff>0</xdr:colOff>
      <xdr:row>47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9525</xdr:colOff>
      <xdr:row>0</xdr:row>
      <xdr:rowOff>0</xdr:rowOff>
    </xdr:from>
    <xdr:to>
      <xdr:col>26</xdr:col>
      <xdr:colOff>228600</xdr:colOff>
      <xdr:row>27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Contents" displayName="Contents" ref="A1:D3" insertRow="1" totalsRowCount="1" headerRowDxfId="108">
  <autoFilter ref="A1:D2"/>
  <tableColumns count="4">
    <tableColumn id="3" name="Population" totalsRowLabel="Count" dataDxfId="107" totalsRowDxfId="106"/>
    <tableColumn id="1" name="Retina ID" totalsRowFunction="count" dataDxfId="105" totalsRowDxfId="104"/>
    <tableColumn id="2" name="Processed WAB Workbook" dataDxfId="103" totalsRowDxfId="102"/>
    <tableColumn id="4" name="Processed NWAB Workbook" dataDxfId="101" totalsRowDxfId="1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InvalidsTbl" displayName="InvalidsTbl" ref="A6:C7" insertRow="1" totalsRowShown="0" headerRowDxfId="99" dataDxfId="98">
  <autoFilter ref="A6:C7"/>
  <tableColumns count="3">
    <tableColumn id="1" name="Population" dataDxfId="97"/>
    <tableColumn id="2" name="Retina ID" dataDxfId="96"/>
    <tableColumn id="3" name="Unit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4" totalsRowShown="0" headerRowDxfId="94" dataDxfId="93">
  <autoFilter ref="A1:C4"/>
  <tableColumns count="3">
    <tableColumn id="1" name="Property" dataDxfId="92"/>
    <tableColumn id="2" name="Value" dataDxfId="91"/>
    <tableColumn id="3" name="Comments" dataDxfId="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WT_Dark_All" displayName="WT_Dark_All" ref="A2:H3" insertRow="1" headerRowDxfId="88" dataDxfId="87" totalsRowDxfId="86" dataCellStyle="Normal">
  <autoFilter ref="A2:H3"/>
  <sortState ref="A3:H262">
    <sortCondition ref="C2:C262"/>
  </sortState>
  <tableColumns count="8">
    <tableColumn id="11" name="Retina" totalsRowLabel="Total" dataDxfId="85" totalsRowDxfId="84" dataCellStyle="Normal"/>
    <tableColumn id="1" name="Cell" totalsRowFunction="count" dataDxfId="83" dataCellStyle="Normal"/>
    <tableColumn id="2" name="BkgrdFiringRate" totalsRowFunction="average" dataDxfId="82" dataCellStyle="Normal"/>
    <tableColumn id="3" name="BkgrdISI" totalsRowFunction="average" dataDxfId="81" dataCellStyle="Normal"/>
    <tableColumn id="4" name="PercentSpikesInBursts" totalsRowFunction="average" dataDxfId="80" dataCellStyle="Normal"/>
    <tableColumn id="5" name="BurstFrequency" totalsRowFunction="average" dataDxfId="79" dataCellStyle="Normal"/>
    <tableColumn id="6" name="IBI" totalsRowFunction="average" dataDxfId="78" dataCellStyle="Normal"/>
    <tableColumn id="7" name="PercentBurstsInWaves" dataDxfId="77" totalsRowDxfId="76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WT_Dark_WABs" displayName="WT_Dark_WABs" ref="A2:G3" insertRow="1" headerRowDxfId="75" dataDxfId="74" totalsRowDxfId="73" dataCellStyle="Normal">
  <autoFilter ref="A2:G3"/>
  <tableColumns count="7">
    <tableColumn id="11" name="Retina" totalsRowLabel="Total" dataDxfId="72" totalsRowDxfId="71" dataCellStyle="Normal"/>
    <tableColumn id="1" name="Cell" totalsRowFunction="count" dataDxfId="70" dataCellStyle="Normal"/>
    <tableColumn id="20" name="BurstDuration" dataDxfId="69" dataCellStyle="Normal"/>
    <tableColumn id="21" name="BurstFiringRate" dataDxfId="68" dataCellStyle="Normal"/>
    <tableColumn id="23" name="BurstISI" dataDxfId="67" dataCellStyle="Normal"/>
    <tableColumn id="22" name="PercentBurstTimeAbove10Hz" dataDxfId="66" dataCellStyle="Normal"/>
    <tableColumn id="24" name="SpikesPerBurst" dataDxfId="65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WT_Dark_NonWABs" displayName="WT_Dark_NonWABs" ref="A2:G3" insertRow="1" headerRowDxfId="64" dataDxfId="63" totalsRowDxfId="62" dataCellStyle="Normal">
  <autoFilter ref="A2:G3"/>
  <tableColumns count="7">
    <tableColumn id="11" name="Retina" totalsRowLabel="Total" dataDxfId="61" totalsRowDxfId="60" dataCellStyle="Normal"/>
    <tableColumn id="1" name="Cell" totalsRowFunction="count" dataDxfId="59" dataCellStyle="Normal"/>
    <tableColumn id="25" name="BurstDuration" dataDxfId="58" totalsRowDxfId="57" dataCellStyle="Normal"/>
    <tableColumn id="26" name="BurstFiringRate" dataDxfId="56" totalsRowDxfId="55" dataCellStyle="Normal"/>
    <tableColumn id="28" name="BurstISI" dataDxfId="54" totalsRowDxfId="53" dataCellStyle="Normal"/>
    <tableColumn id="27" name="PercentBurstTimeAbove10Hz" dataDxfId="52" totalsRowDxfId="51" dataCellStyle="Normal"/>
    <tableColumn id="29" name="SpikesPerBurst" dataDxfId="50" totalsRowDxfId="49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TA_Dark_All" displayName="DTA_Dark_All" ref="A2:H3" insertRow="1" headerRowDxfId="48" dataDxfId="47" dataCellStyle="Normal">
  <autoFilter ref="A2:H3"/>
  <tableColumns count="8">
    <tableColumn id="11" name="Retina" totalsRowLabel="Total" dataDxfId="46" totalsRowDxfId="45" dataCellStyle="Normal"/>
    <tableColumn id="1" name="Cell" dataDxfId="44" totalsRowDxfId="43" dataCellStyle="Normal"/>
    <tableColumn id="2" name="BkgrdFiringRate" totalsRowFunction="average" dataDxfId="42" totalsRowDxfId="41" dataCellStyle="Normal"/>
    <tableColumn id="3" name="BkgrdISI" totalsRowFunction="average" dataDxfId="40" totalsRowDxfId="39" dataCellStyle="Normal"/>
    <tableColumn id="4" name="PercentSpikesInBursts" totalsRowFunction="average" dataDxfId="38" totalsRowDxfId="37" dataCellStyle="Normal"/>
    <tableColumn id="5" name="BurstFrequency" totalsRowFunction="average" dataDxfId="36" totalsRowDxfId="35" dataCellStyle="Normal"/>
    <tableColumn id="6" name="IBI" totalsRowFunction="average" dataDxfId="34" dataCellStyle="Normal"/>
    <tableColumn id="7" name="PercentBurstsInWaves" dataDxfId="33" totalsRowDxfId="32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DTA_Dark_WABs" displayName="DTA_Dark_WABs" ref="A2:G3" insertRow="1" headerRowDxfId="31" dataDxfId="30" dataCellStyle="Normal">
  <autoFilter ref="A2:G3"/>
  <tableColumns count="7">
    <tableColumn id="11" name="Retina" totalsRowLabel="Total" dataDxfId="29" totalsRowDxfId="28" dataCellStyle="Normal"/>
    <tableColumn id="1" name="Cell" dataDxfId="27" totalsRowDxfId="26" dataCellStyle="Normal"/>
    <tableColumn id="7" name="BurstDuration" totalsRowFunction="average" dataDxfId="25" totalsRowDxfId="24" dataCellStyle="Normal"/>
    <tableColumn id="8" name="BurstFiringRate" totalsRowFunction="average" dataDxfId="23" totalsRowDxfId="22" dataCellStyle="Normal"/>
    <tableColumn id="10" name="BurstISI" totalsRowFunction="average" dataDxfId="21" totalsRowDxfId="20" dataCellStyle="Normal"/>
    <tableColumn id="9" name="PercentBurstTimeAbove10Hz" totalsRowFunction="average" dataDxfId="19" totalsRowDxfId="18" dataCellStyle="Normal"/>
    <tableColumn id="12" name="SpikesPerBurst" dataDxfId="17" totalsRowDxfId="16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DTA_Dark_NonWABs" displayName="DTA_Dark_NonWABs" ref="A2:G3" insertRow="1" headerRowDxfId="15" dataDxfId="14" dataCellStyle="Normal">
  <autoFilter ref="A2:G3"/>
  <tableColumns count="7">
    <tableColumn id="11" name="Retina" totalsRowLabel="Total" dataDxfId="13" totalsRowDxfId="12" dataCellStyle="Normal"/>
    <tableColumn id="1" name="Cell" dataDxfId="11" totalsRowDxfId="10" dataCellStyle="Normal"/>
    <tableColumn id="13" name="BurstDuration" dataDxfId="9" totalsRowDxfId="8" dataCellStyle="Normal"/>
    <tableColumn id="14" name="BurstFiringRate" dataDxfId="7" totalsRowDxfId="6" dataCellStyle="Normal"/>
    <tableColumn id="16" name="BurstISI" dataDxfId="5" totalsRowDxfId="4" dataCellStyle="Normal"/>
    <tableColumn id="15" name="PercentBurstTimeAbove10Hz" dataDxfId="3" totalsRowDxfId="2" dataCellStyle="Normal"/>
    <tableColumn id="17" name="SpikesPerBurst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"/>
  <sheetViews>
    <sheetView workbookViewId="0">
      <selection activeCell="A2" sqref="A2"/>
    </sheetView>
  </sheetViews>
  <sheetFormatPr defaultRowHeight="15" x14ac:dyDescent="0.25"/>
  <cols>
    <col min="1" max="1" width="13" style="1" bestFit="1" customWidth="1"/>
    <col min="2" max="2" width="11.28515625" style="1" bestFit="1" customWidth="1"/>
    <col min="3" max="3" width="70.140625" style="1" bestFit="1" customWidth="1"/>
    <col min="4" max="4" width="74.7109375" style="1" bestFit="1" customWidth="1"/>
    <col min="5" max="16384" width="9.140625" style="1"/>
  </cols>
  <sheetData>
    <row r="1" spans="1:4" x14ac:dyDescent="0.25">
      <c r="A1" s="7" t="s">
        <v>41</v>
      </c>
      <c r="B1" s="7" t="s">
        <v>42</v>
      </c>
      <c r="C1" s="7" t="s">
        <v>43</v>
      </c>
      <c r="D1" s="7" t="s">
        <v>44</v>
      </c>
    </row>
    <row r="2" spans="1:4" x14ac:dyDescent="0.25">
      <c r="B2" s="16"/>
      <c r="C2" s="7"/>
      <c r="D2" s="15"/>
    </row>
    <row r="3" spans="1:4" x14ac:dyDescent="0.25">
      <c r="A3" s="1" t="s">
        <v>52</v>
      </c>
      <c r="B3" s="16">
        <f>SUBTOTAL(103,Contents[Retina ID])</f>
        <v>0</v>
      </c>
      <c r="C3" s="7"/>
      <c r="D3" s="1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8" t="s">
        <v>45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25">
      <c r="A2" s="8" t="s">
        <v>46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x14ac:dyDescent="0.25">
      <c r="A3" s="8" t="s">
        <v>47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25">
      <c r="A4" s="8" t="s">
        <v>48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15" x14ac:dyDescent="0.25">
      <c r="A5" s="17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 x14ac:dyDescent="0.25">
      <c r="A6" s="7" t="s">
        <v>41</v>
      </c>
      <c r="B6" s="7" t="s">
        <v>42</v>
      </c>
      <c r="C6" s="7" t="s">
        <v>26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 x14ac:dyDescent="0.25"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x14ac:dyDescent="0.25"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 x14ac:dyDescent="0.25"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 x14ac:dyDescent="0.25"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5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 x14ac:dyDescent="0.25"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1.7109375" style="1" bestFit="1" customWidth="1"/>
    <col min="2" max="2" width="8.42578125" style="1" bestFit="1" customWidth="1"/>
    <col min="3" max="3" width="47.140625" style="1" bestFit="1" customWidth="1"/>
    <col min="4" max="16384" width="9.140625" style="1"/>
  </cols>
  <sheetData>
    <row r="1" spans="1:3" x14ac:dyDescent="0.25">
      <c r="A1" s="7" t="s">
        <v>61</v>
      </c>
      <c r="B1" s="7" t="s">
        <v>65</v>
      </c>
      <c r="C1" s="7" t="s">
        <v>66</v>
      </c>
    </row>
    <row r="2" spans="1:3" x14ac:dyDescent="0.25">
      <c r="A2" s="7" t="s">
        <v>49</v>
      </c>
      <c r="B2" s="1">
        <v>0.05</v>
      </c>
      <c r="C2" s="7"/>
    </row>
    <row r="3" spans="1:3" ht="30" x14ac:dyDescent="0.25">
      <c r="A3" s="7" t="s">
        <v>69</v>
      </c>
      <c r="B3" s="1">
        <v>2</v>
      </c>
      <c r="C3" s="103" t="s">
        <v>70</v>
      </c>
    </row>
    <row r="4" spans="1:3" ht="45" x14ac:dyDescent="0.25">
      <c r="A4" s="7" t="s">
        <v>68</v>
      </c>
      <c r="B4" s="1">
        <v>3</v>
      </c>
      <c r="C4" s="103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150"/>
  <sheetViews>
    <sheetView tabSelected="1" topLeftCell="N1" workbookViewId="0"/>
  </sheetViews>
  <sheetFormatPr defaultRowHeight="15" x14ac:dyDescent="0.25"/>
  <cols>
    <col min="1" max="1" width="35.28515625" style="18" bestFit="1" customWidth="1"/>
    <col min="2" max="2" width="11.28515625" style="18" hidden="1" customWidth="1"/>
    <col min="3" max="3" width="14.42578125" style="18" hidden="1" customWidth="1"/>
    <col min="4" max="4" width="15" style="18" hidden="1" customWidth="1"/>
    <col min="5" max="5" width="15.5703125" style="18" hidden="1" customWidth="1"/>
    <col min="6" max="6" width="26.7109375" style="18" hidden="1" customWidth="1"/>
    <col min="7" max="7" width="27.28515625" style="18" hidden="1" customWidth="1"/>
    <col min="8" max="8" width="12.7109375" style="18" customWidth="1"/>
    <col min="9" max="9" width="13.42578125" style="18" customWidth="1"/>
    <col min="10" max="10" width="15.42578125" style="18" bestFit="1" customWidth="1"/>
    <col min="11" max="11" width="16" style="18" customWidth="1"/>
    <col min="12" max="12" width="13.42578125" style="18" customWidth="1"/>
    <col min="13" max="13" width="14" style="18" customWidth="1"/>
    <col min="14" max="14" width="20.42578125" style="18" bestFit="1" customWidth="1"/>
    <col min="15" max="15" width="21" style="18" customWidth="1"/>
    <col min="16" max="16" width="14.140625" style="18" bestFit="1" customWidth="1"/>
    <col min="17" max="17" width="15.7109375" style="1" bestFit="1" customWidth="1"/>
    <col min="18" max="19" width="12" style="1" bestFit="1" customWidth="1"/>
    <col min="20" max="20" width="15.28515625" style="1" bestFit="1" customWidth="1"/>
    <col min="21" max="21" width="21.140625" style="1" bestFit="1" customWidth="1"/>
    <col min="22" max="23" width="9.140625" style="1" customWidth="1"/>
    <col min="24" max="24" width="15.7109375" style="1" bestFit="1" customWidth="1"/>
    <col min="25" max="26" width="12" style="18" bestFit="1" customWidth="1"/>
    <col min="27" max="27" width="15.28515625" style="18" bestFit="1" customWidth="1"/>
    <col min="28" max="28" width="21.140625" style="18" customWidth="1"/>
    <col min="29" max="30" width="9.140625" style="18"/>
    <col min="31" max="31" width="15.7109375" style="18" bestFit="1" customWidth="1"/>
    <col min="32" max="32" width="12" style="18" bestFit="1" customWidth="1"/>
    <col min="33" max="33" width="12" style="1" bestFit="1" customWidth="1"/>
    <col min="34" max="34" width="15.28515625" style="1" bestFit="1" customWidth="1"/>
    <col min="35" max="35" width="21.140625" style="1" customWidth="1"/>
    <col min="36" max="36" width="9.140625" style="1" customWidth="1"/>
    <col min="37" max="37" width="9.140625" style="18"/>
    <col min="38" max="38" width="15.7109375" style="18" bestFit="1" customWidth="1"/>
    <col min="39" max="40" width="12" style="18" bestFit="1" customWidth="1"/>
    <col min="41" max="41" width="15.28515625" style="18" bestFit="1" customWidth="1"/>
    <col min="42" max="42" width="21.140625" style="18" customWidth="1"/>
    <col min="43" max="44" width="9.140625" style="18"/>
    <col min="45" max="45" width="15.7109375" style="18" bestFit="1" customWidth="1"/>
    <col min="46" max="47" width="12" style="18" bestFit="1" customWidth="1"/>
    <col min="48" max="48" width="15.28515625" style="18" bestFit="1" customWidth="1"/>
    <col min="49" max="49" width="21.140625" style="18" customWidth="1"/>
    <col min="50" max="51" width="9.140625" style="18"/>
    <col min="52" max="52" width="15.7109375" style="18" bestFit="1" customWidth="1"/>
    <col min="53" max="54" width="12" style="18" bestFit="1" customWidth="1"/>
    <col min="55" max="55" width="15.28515625" style="18" bestFit="1" customWidth="1"/>
    <col min="56" max="56" width="21.140625" style="18" customWidth="1"/>
    <col min="57" max="16384" width="9.140625" style="18"/>
  </cols>
  <sheetData>
    <row r="1" spans="1:39" x14ac:dyDescent="0.25">
      <c r="A1" s="37" t="s">
        <v>62</v>
      </c>
    </row>
    <row r="2" spans="1:39" x14ac:dyDescent="0.25">
      <c r="A2" s="1">
        <v>32</v>
      </c>
    </row>
    <row r="3" spans="1:39" x14ac:dyDescent="0.25">
      <c r="A3" s="37" t="s">
        <v>63</v>
      </c>
    </row>
    <row r="4" spans="1:39" x14ac:dyDescent="0.25">
      <c r="A4" s="1">
        <v>7</v>
      </c>
    </row>
    <row r="5" spans="1:39" ht="15.75" thickBot="1" x14ac:dyDescent="0.3"/>
    <row r="6" spans="1:39" s="37" customFormat="1" ht="15.75" thickBot="1" x14ac:dyDescent="0.3">
      <c r="A6" s="2" t="s">
        <v>61</v>
      </c>
      <c r="B6" s="61" t="s">
        <v>50</v>
      </c>
      <c r="C6" s="38" t="s">
        <v>51</v>
      </c>
      <c r="D6" s="61" t="s">
        <v>53</v>
      </c>
      <c r="E6" s="39" t="s">
        <v>54</v>
      </c>
      <c r="F6" s="39" t="s">
        <v>55</v>
      </c>
      <c r="G6" s="38" t="s">
        <v>56</v>
      </c>
      <c r="H6" s="61" t="s">
        <v>57</v>
      </c>
      <c r="I6" s="39" t="s">
        <v>59</v>
      </c>
      <c r="J6" s="39" t="s">
        <v>33</v>
      </c>
      <c r="K6" s="39" t="s">
        <v>38</v>
      </c>
      <c r="L6" s="39" t="s">
        <v>58</v>
      </c>
      <c r="M6" s="39" t="s">
        <v>60</v>
      </c>
      <c r="N6" s="39" t="s">
        <v>71</v>
      </c>
      <c r="O6" s="38" t="s">
        <v>39</v>
      </c>
      <c r="P6" s="40" t="s">
        <v>22</v>
      </c>
      <c r="Q6" s="41" t="s">
        <v>20</v>
      </c>
      <c r="R6" s="39" t="s">
        <v>40</v>
      </c>
      <c r="S6" s="38" t="s">
        <v>49</v>
      </c>
      <c r="U6" s="3"/>
      <c r="V6" s="3"/>
      <c r="W6" s="3"/>
      <c r="X6" s="3"/>
      <c r="Y6" s="3"/>
      <c r="Z6" s="3"/>
      <c r="AA6" s="3"/>
      <c r="AJ6" s="3"/>
      <c r="AK6" s="3"/>
      <c r="AL6" s="3"/>
      <c r="AM6" s="3"/>
    </row>
    <row r="7" spans="1:39" x14ac:dyDescent="0.25">
      <c r="A7" s="42" t="str">
        <f t="shared" ref="A7:A22" ca="1" si="0">IF($S7&lt;PValue,"*  ","")&amp;INDIRECT(ADDRESS($B7,$C7,4,1))</f>
        <v>Background Firing Rate</v>
      </c>
      <c r="B7" s="62">
        <f>ROW(Q50)</f>
        <v>50</v>
      </c>
      <c r="C7" s="63">
        <f>COLUMN(Q50)</f>
        <v>17</v>
      </c>
      <c r="D7" s="74" t="str">
        <f>ADDRESS($B7+2,$C7+1,4,1)&amp;":"&amp;ADDRESS($B7+2+Contents[[#Totals],[Retina ID]],$C7+1,4,1)</f>
        <v>R52:R52</v>
      </c>
      <c r="E7" s="45" t="str">
        <f>ADDRESS($B7+2,$C7+2,4,1)&amp;":"&amp;ADDRESS($B7+2+Contents[[#Totals],[Retina ID]],$C7+2,4,1)</f>
        <v>S52:S52</v>
      </c>
      <c r="F7" s="45" t="str">
        <f>ADDRESS($B7+2,$C7+3,4,1)&amp;":"&amp;ADDRESS($B7+2+Contents[[#Totals],[Retina ID]],$C7+3,4,1)</f>
        <v>T52:T52</v>
      </c>
      <c r="G7" s="75" t="str">
        <f>ADDRESS($B7+2,$C7+4,4,1)&amp;":"&amp;ADDRESS($B7+2+Contents[[#Totals],[Retina ID]],$C7+4,4,1)</f>
        <v>U52:U52</v>
      </c>
      <c r="H7" s="88" t="e">
        <f ca="1">AVERAGE(INDIRECT($D7))</f>
        <v>#DIV/0!</v>
      </c>
      <c r="I7" s="52" t="e">
        <f ca="1">AVERAGE(INDIRECT($E7))</f>
        <v>#DIV/0!</v>
      </c>
      <c r="J7" s="52">
        <v>1</v>
      </c>
      <c r="K7" s="52" t="e">
        <f ca="1">AVERAGE(INDIRECT($G7))</f>
        <v>#DIV/0!</v>
      </c>
      <c r="L7" s="52" t="e">
        <f t="shared" ref="L7:L22" ca="1" si="1">sem(INDIRECT($D7))</f>
        <v>#VALUE!</v>
      </c>
      <c r="M7" s="52" t="e">
        <f t="shared" ref="M7:M22" ca="1" si="2">sem(INDIRECT($E7))</f>
        <v>#VALUE!</v>
      </c>
      <c r="N7" s="52" t="e">
        <f ca="1">sem(INDIRECT($F7))</f>
        <v>#VALUE!</v>
      </c>
      <c r="O7" s="89" t="e">
        <f t="shared" ref="O7:O22" ca="1" si="3">sem(INDIRECT($G7))</f>
        <v>#VALUE!</v>
      </c>
      <c r="P7" s="43" t="str">
        <f t="shared" ref="P7:P22" ca="1" si="4">IFERROR(TEXT($H7,"0.000")&amp;" ± "&amp;TEXT($L7,"0.000"),"")</f>
        <v/>
      </c>
      <c r="Q7" s="43" t="str">
        <f t="shared" ref="Q7:Q22" ca="1" si="5">IFERROR(TEXT($I7,"0.000")&amp;" ± "&amp;TEXT($M7,"0.000"),"")</f>
        <v/>
      </c>
      <c r="R7" s="43" t="str">
        <f t="shared" ref="R7:R22" ca="1" si="6">IFERROR(TEXT(100*$K7,"0.0")&amp;" ± "&amp;TEXT(100*$O7,"0.00"),"")</f>
        <v/>
      </c>
      <c r="S7" s="44" t="str">
        <f t="shared" ref="S7:S22" ca="1" si="7">IFERROR(_xlfn.T.TEST(INDIRECT($D7),INDIRECT($E7),TTTails,TTType),"")</f>
        <v/>
      </c>
      <c r="Y7" s="1"/>
      <c r="Z7" s="1"/>
      <c r="AA7" s="1"/>
      <c r="AG7" s="18"/>
      <c r="AH7" s="18"/>
      <c r="AI7" s="18"/>
      <c r="AK7" s="1"/>
      <c r="AL7" s="1"/>
      <c r="AM7" s="1"/>
    </row>
    <row r="8" spans="1:39" x14ac:dyDescent="0.25">
      <c r="A8" s="27" t="str">
        <f t="shared" ca="1" si="0"/>
        <v>Background Interspike Interval</v>
      </c>
      <c r="B8" s="64">
        <f>$B$7</f>
        <v>50</v>
      </c>
      <c r="C8" s="65">
        <f>$C7+PropertyCols</f>
        <v>24</v>
      </c>
      <c r="D8" s="76" t="str">
        <f>ADDRESS($B8+2,$C8+1,4,1)&amp;":"&amp;ADDRESS($B8+2+Contents[[#Totals],[Retina ID]],$C8+1,4,1)</f>
        <v>Y52:Y52</v>
      </c>
      <c r="E8" s="46" t="str">
        <f>ADDRESS($B8+2,$C8+2,4,1)&amp;":"&amp;ADDRESS($B8+2+Contents[[#Totals],[Retina ID]],$C8+2,4,1)</f>
        <v>Z52:Z52</v>
      </c>
      <c r="F8" s="46" t="str">
        <f>ADDRESS($B8+2,$C8+3,4,1)&amp;":"&amp;ADDRESS($B8+2+Contents[[#Totals],[Retina ID]],$C8+3,4,1)</f>
        <v>AA52:AA52</v>
      </c>
      <c r="G8" s="77" t="str">
        <f>ADDRESS($B8+2,$C8+4,4,1)&amp;":"&amp;ADDRESS($B8+2+Contents[[#Totals],[Retina ID]],$C8+4,4,1)</f>
        <v>AB52:AB52</v>
      </c>
      <c r="H8" s="90" t="e">
        <f t="shared" ref="H8:H22" ca="1" si="8">AVERAGE(INDIRECT($D8))</f>
        <v>#DIV/0!</v>
      </c>
      <c r="I8" s="55" t="e">
        <f t="shared" ref="I8:I22" ca="1" si="9">AVERAGE(INDIRECT($E8))</f>
        <v>#DIV/0!</v>
      </c>
      <c r="J8" s="55">
        <v>1</v>
      </c>
      <c r="K8" s="55" t="e">
        <f t="shared" ref="K8:K22" ca="1" si="10">AVERAGE(INDIRECT($G8))</f>
        <v>#DIV/0!</v>
      </c>
      <c r="L8" s="55" t="e">
        <f t="shared" ca="1" si="1"/>
        <v>#VALUE!</v>
      </c>
      <c r="M8" s="55" t="e">
        <f t="shared" ca="1" si="2"/>
        <v>#VALUE!</v>
      </c>
      <c r="N8" s="55" t="e">
        <f t="shared" ref="N8:N22" ca="1" si="11">sem(INDIRECT($F8))</f>
        <v>#VALUE!</v>
      </c>
      <c r="O8" s="91" t="e">
        <f t="shared" ca="1" si="3"/>
        <v>#VALUE!</v>
      </c>
      <c r="P8" s="25" t="str">
        <f t="shared" ca="1" si="4"/>
        <v/>
      </c>
      <c r="Q8" s="25" t="str">
        <f t="shared" ca="1" si="5"/>
        <v/>
      </c>
      <c r="R8" s="25" t="str">
        <f t="shared" ca="1" si="6"/>
        <v/>
      </c>
      <c r="S8" s="26" t="str">
        <f t="shared" ca="1" si="7"/>
        <v/>
      </c>
      <c r="Y8" s="1"/>
      <c r="Z8" s="1"/>
      <c r="AA8" s="1"/>
      <c r="AG8" s="18"/>
      <c r="AH8" s="18"/>
      <c r="AI8" s="18"/>
      <c r="AK8" s="1"/>
      <c r="AL8" s="1"/>
      <c r="AM8" s="1"/>
    </row>
    <row r="9" spans="1:39" x14ac:dyDescent="0.25">
      <c r="A9" s="27" t="str">
        <f t="shared" ca="1" si="0"/>
        <v>Percent of Spikes Occurring in Bursts</v>
      </c>
      <c r="B9" s="64">
        <f t="shared" ref="B9:B12" si="12">$B$7</f>
        <v>50</v>
      </c>
      <c r="C9" s="65">
        <f>$C8+PropertyCols</f>
        <v>31</v>
      </c>
      <c r="D9" s="76" t="str">
        <f>ADDRESS($B9+2,$C9+1,4,1)&amp;":"&amp;ADDRESS($B9+2+Contents[[#Totals],[Retina ID]],$C9+1,4,1)</f>
        <v>AF52:AF52</v>
      </c>
      <c r="E9" s="46" t="str">
        <f>ADDRESS($B9+2,$C9+2,4,1)&amp;":"&amp;ADDRESS($B9+2+Contents[[#Totals],[Retina ID]],$C9+2,4,1)</f>
        <v>AG52:AG52</v>
      </c>
      <c r="F9" s="46" t="str">
        <f>ADDRESS($B9+2,$C9+3,4,1)&amp;":"&amp;ADDRESS($B9+2+Contents[[#Totals],[Retina ID]],$C9+3,4,1)</f>
        <v>AH52:AH52</v>
      </c>
      <c r="G9" s="77" t="str">
        <f>ADDRESS($B9+2,$C9+4,4,1)&amp;":"&amp;ADDRESS($B9+2+Contents[[#Totals],[Retina ID]],$C9+4,4,1)</f>
        <v>AI52:AI52</v>
      </c>
      <c r="H9" s="90" t="e">
        <f t="shared" ca="1" si="8"/>
        <v>#DIV/0!</v>
      </c>
      <c r="I9" s="55" t="e">
        <f t="shared" ca="1" si="9"/>
        <v>#DIV/0!</v>
      </c>
      <c r="J9" s="55">
        <v>1</v>
      </c>
      <c r="K9" s="55" t="e">
        <f t="shared" ca="1" si="10"/>
        <v>#DIV/0!</v>
      </c>
      <c r="L9" s="55" t="e">
        <f t="shared" ca="1" si="1"/>
        <v>#VALUE!</v>
      </c>
      <c r="M9" s="55" t="e">
        <f t="shared" ca="1" si="2"/>
        <v>#VALUE!</v>
      </c>
      <c r="N9" s="55" t="e">
        <f t="shared" ca="1" si="11"/>
        <v>#VALUE!</v>
      </c>
      <c r="O9" s="91" t="e">
        <f t="shared" ca="1" si="3"/>
        <v>#VALUE!</v>
      </c>
      <c r="P9" s="25" t="str">
        <f t="shared" ca="1" si="4"/>
        <v/>
      </c>
      <c r="Q9" s="25" t="str">
        <f t="shared" ca="1" si="5"/>
        <v/>
      </c>
      <c r="R9" s="25" t="str">
        <f t="shared" ca="1" si="6"/>
        <v/>
      </c>
      <c r="S9" s="26" t="str">
        <f t="shared" ca="1" si="7"/>
        <v/>
      </c>
      <c r="Y9" s="1"/>
      <c r="Z9" s="1"/>
      <c r="AA9" s="1"/>
      <c r="AG9" s="18"/>
      <c r="AH9" s="18"/>
      <c r="AI9" s="18"/>
      <c r="AK9" s="1"/>
      <c r="AL9" s="1"/>
      <c r="AM9" s="1"/>
    </row>
    <row r="10" spans="1:39" x14ac:dyDescent="0.25">
      <c r="A10" s="27" t="str">
        <f t="shared" ca="1" si="0"/>
        <v>Burst Frequency</v>
      </c>
      <c r="B10" s="64">
        <f t="shared" si="12"/>
        <v>50</v>
      </c>
      <c r="C10" s="65">
        <f>$C9+PropertyCols</f>
        <v>38</v>
      </c>
      <c r="D10" s="76" t="str">
        <f>ADDRESS($B10+2,$C10+1,4,1)&amp;":"&amp;ADDRESS($B10+2+Contents[[#Totals],[Retina ID]],$C10+1,4,1)</f>
        <v>AM52:AM52</v>
      </c>
      <c r="E10" s="46" t="str">
        <f>ADDRESS($B10+2,$C10+2,4,1)&amp;":"&amp;ADDRESS($B10+2+Contents[[#Totals],[Retina ID]],$C10+2,4,1)</f>
        <v>AN52:AN52</v>
      </c>
      <c r="F10" s="46" t="str">
        <f>ADDRESS($B10+2,$C10+3,4,1)&amp;":"&amp;ADDRESS($B10+2+Contents[[#Totals],[Retina ID]],$C10+3,4,1)</f>
        <v>AO52:AO52</v>
      </c>
      <c r="G10" s="77" t="str">
        <f>ADDRESS($B10+2,$C10+4,4,1)&amp;":"&amp;ADDRESS($B10+2+Contents[[#Totals],[Retina ID]],$C10+4,4,1)</f>
        <v>AP52:AP52</v>
      </c>
      <c r="H10" s="90" t="e">
        <f t="shared" ca="1" si="8"/>
        <v>#DIV/0!</v>
      </c>
      <c r="I10" s="55" t="e">
        <f t="shared" ca="1" si="9"/>
        <v>#DIV/0!</v>
      </c>
      <c r="J10" s="55">
        <v>1</v>
      </c>
      <c r="K10" s="55" t="e">
        <f t="shared" ca="1" si="10"/>
        <v>#DIV/0!</v>
      </c>
      <c r="L10" s="55" t="e">
        <f t="shared" ca="1" si="1"/>
        <v>#VALUE!</v>
      </c>
      <c r="M10" s="55" t="e">
        <f t="shared" ca="1" si="2"/>
        <v>#VALUE!</v>
      </c>
      <c r="N10" s="55" t="e">
        <f t="shared" ca="1" si="11"/>
        <v>#VALUE!</v>
      </c>
      <c r="O10" s="91" t="e">
        <f t="shared" ca="1" si="3"/>
        <v>#VALUE!</v>
      </c>
      <c r="P10" s="25" t="str">
        <f t="shared" ca="1" si="4"/>
        <v/>
      </c>
      <c r="Q10" s="25" t="str">
        <f t="shared" ca="1" si="5"/>
        <v/>
      </c>
      <c r="R10" s="25" t="str">
        <f t="shared" ca="1" si="6"/>
        <v/>
      </c>
      <c r="S10" s="26" t="str">
        <f t="shared" ca="1" si="7"/>
        <v/>
      </c>
      <c r="Y10" s="1"/>
      <c r="Z10" s="1"/>
      <c r="AA10" s="1"/>
      <c r="AG10" s="18"/>
      <c r="AH10" s="18"/>
      <c r="AI10" s="18"/>
      <c r="AK10" s="1"/>
      <c r="AL10" s="1"/>
      <c r="AM10" s="1"/>
    </row>
    <row r="11" spans="1:39" x14ac:dyDescent="0.25">
      <c r="A11" s="27" t="str">
        <f t="shared" ca="1" si="0"/>
        <v>Background Firing Rate</v>
      </c>
      <c r="B11" s="64">
        <f t="shared" si="12"/>
        <v>50</v>
      </c>
      <c r="C11" s="65">
        <f>$C10+PropertyCols</f>
        <v>45</v>
      </c>
      <c r="D11" s="76" t="str">
        <f>ADDRESS($B11+2,$C11+1,4,1)&amp;":"&amp;ADDRESS($B11+2+Contents[[#Totals],[Retina ID]],$C11+1,4,1)</f>
        <v>AT52:AT52</v>
      </c>
      <c r="E11" s="46" t="str">
        <f>ADDRESS($B11+2,$C11+2,4,1)&amp;":"&amp;ADDRESS($B11+2+Contents[[#Totals],[Retina ID]],$C11+2,4,1)</f>
        <v>AU52:AU52</v>
      </c>
      <c r="F11" s="46" t="str">
        <f>ADDRESS($B11+2,$C11+3,4,1)&amp;":"&amp;ADDRESS($B11+2+Contents[[#Totals],[Retina ID]],$C11+3,4,1)</f>
        <v>AV52:AV52</v>
      </c>
      <c r="G11" s="77" t="str">
        <f>ADDRESS($B11+2,$C11+4,4,1)&amp;":"&amp;ADDRESS($B11+2+Contents[[#Totals],[Retina ID]],$C11+4,4,1)</f>
        <v>AW52:AW52</v>
      </c>
      <c r="H11" s="90" t="e">
        <f t="shared" ca="1" si="8"/>
        <v>#DIV/0!</v>
      </c>
      <c r="I11" s="55" t="e">
        <f t="shared" ca="1" si="9"/>
        <v>#DIV/0!</v>
      </c>
      <c r="J11" s="55">
        <v>1</v>
      </c>
      <c r="K11" s="55" t="e">
        <f t="shared" ca="1" si="10"/>
        <v>#DIV/0!</v>
      </c>
      <c r="L11" s="55" t="e">
        <f t="shared" ca="1" si="1"/>
        <v>#VALUE!</v>
      </c>
      <c r="M11" s="55" t="e">
        <f t="shared" ca="1" si="2"/>
        <v>#VALUE!</v>
      </c>
      <c r="N11" s="55" t="e">
        <f t="shared" ca="1" si="11"/>
        <v>#VALUE!</v>
      </c>
      <c r="O11" s="91" t="e">
        <f t="shared" ca="1" si="3"/>
        <v>#VALUE!</v>
      </c>
      <c r="P11" s="25" t="str">
        <f t="shared" ca="1" si="4"/>
        <v/>
      </c>
      <c r="Q11" s="25" t="str">
        <f t="shared" ca="1" si="5"/>
        <v/>
      </c>
      <c r="R11" s="25" t="str">
        <f t="shared" ca="1" si="6"/>
        <v/>
      </c>
      <c r="S11" s="26" t="str">
        <f t="shared" ca="1" si="7"/>
        <v/>
      </c>
      <c r="Y11" s="1"/>
      <c r="Z11" s="1"/>
      <c r="AA11" s="1"/>
      <c r="AG11" s="18"/>
      <c r="AH11" s="18"/>
      <c r="AI11" s="18"/>
      <c r="AK11" s="1"/>
      <c r="AL11" s="1"/>
      <c r="AM11" s="1"/>
    </row>
    <row r="12" spans="1:39" x14ac:dyDescent="0.25">
      <c r="A12" s="31" t="str">
        <f t="shared" ca="1" si="0"/>
        <v>Percent of Bursts Occurring In Waves</v>
      </c>
      <c r="B12" s="53">
        <f t="shared" si="12"/>
        <v>50</v>
      </c>
      <c r="C12" s="66">
        <f>$C11+PropertyCols</f>
        <v>52</v>
      </c>
      <c r="D12" s="78" t="str">
        <f>ADDRESS($B12+2,$C12+1,4,1)&amp;":"&amp;ADDRESS($B12+2+Contents[[#Totals],[Retina ID]],$C12+1,4,1)</f>
        <v>BA52:BA52</v>
      </c>
      <c r="E12" s="47" t="str">
        <f>ADDRESS($B12+2,$C12+2,4,1)&amp;":"&amp;ADDRESS($B12+2+Contents[[#Totals],[Retina ID]],$C12+2,4,1)</f>
        <v>BB52:BB52</v>
      </c>
      <c r="F12" s="47" t="str">
        <f>ADDRESS($B12+2,$C12+3,4,1)&amp;":"&amp;ADDRESS($B12+2+Contents[[#Totals],[Retina ID]],$C12+3,4,1)</f>
        <v>BC52:BC52</v>
      </c>
      <c r="G12" s="79" t="str">
        <f>ADDRESS($B12+2,$C12+4,4,1)&amp;":"&amp;ADDRESS($B12+2+Contents[[#Totals],[Retina ID]],$C12+4,4,1)</f>
        <v>BD52:BD52</v>
      </c>
      <c r="H12" s="92" t="e">
        <f t="shared" ca="1" si="8"/>
        <v>#DIV/0!</v>
      </c>
      <c r="I12" s="56" t="e">
        <f t="shared" ca="1" si="9"/>
        <v>#DIV/0!</v>
      </c>
      <c r="J12" s="56">
        <v>1</v>
      </c>
      <c r="K12" s="56" t="e">
        <f t="shared" ca="1" si="10"/>
        <v>#DIV/0!</v>
      </c>
      <c r="L12" s="56" t="e">
        <f t="shared" ca="1" si="1"/>
        <v>#VALUE!</v>
      </c>
      <c r="M12" s="56" t="e">
        <f t="shared" ca="1" si="2"/>
        <v>#VALUE!</v>
      </c>
      <c r="N12" s="56" t="e">
        <f t="shared" ca="1" si="11"/>
        <v>#VALUE!</v>
      </c>
      <c r="O12" s="93" t="e">
        <f t="shared" ca="1" si="3"/>
        <v>#VALUE!</v>
      </c>
      <c r="P12" s="32" t="str">
        <f t="shared" ca="1" si="4"/>
        <v/>
      </c>
      <c r="Q12" s="32" t="str">
        <f t="shared" ca="1" si="5"/>
        <v/>
      </c>
      <c r="R12" s="32" t="str">
        <f t="shared" ca="1" si="6"/>
        <v/>
      </c>
      <c r="S12" s="33" t="str">
        <f t="shared" ca="1" si="7"/>
        <v/>
      </c>
      <c r="Y12" s="1"/>
      <c r="Z12" s="1"/>
      <c r="AA12" s="1"/>
      <c r="AG12" s="18"/>
      <c r="AH12" s="18"/>
      <c r="AI12" s="18"/>
      <c r="AK12" s="1"/>
      <c r="AL12" s="1"/>
      <c r="AM12" s="1"/>
    </row>
    <row r="13" spans="1:39" x14ac:dyDescent="0.25">
      <c r="A13" s="28" t="str">
        <f t="shared" ca="1" si="0"/>
        <v>Wave-Burst Duration</v>
      </c>
      <c r="B13" s="67">
        <f>$B$7+PropertyRows</f>
        <v>82</v>
      </c>
      <c r="C13" s="68">
        <f>$C$7</f>
        <v>17</v>
      </c>
      <c r="D13" s="80" t="str">
        <f>ADDRESS($B13+2,$C13+1,4,1)&amp;":"&amp;ADDRESS($B13+2+Contents[[#Totals],[Retina ID]],$C13+1,4,1)</f>
        <v>R84:R84</v>
      </c>
      <c r="E13" s="48" t="str">
        <f>ADDRESS($B13+2,$C13+2,4,1)&amp;":"&amp;ADDRESS($B13+2+Contents[[#Totals],[Retina ID]],$C13+2,4,1)</f>
        <v>S84:S84</v>
      </c>
      <c r="F13" s="48" t="str">
        <f>ADDRESS($B13+2,$C13+3,4,1)&amp;":"&amp;ADDRESS($B13+2+Contents[[#Totals],[Retina ID]],$C13+3,4,1)</f>
        <v>T84:T84</v>
      </c>
      <c r="G13" s="81" t="str">
        <f>ADDRESS($B13+2,$C13+4,4,1)&amp;":"&amp;ADDRESS($B13+2+Contents[[#Totals],[Retina ID]],$C13+4,4,1)</f>
        <v>U84:U84</v>
      </c>
      <c r="H13" s="94" t="e">
        <f t="shared" ca="1" si="8"/>
        <v>#DIV/0!</v>
      </c>
      <c r="I13" s="57" t="e">
        <f t="shared" ca="1" si="9"/>
        <v>#DIV/0!</v>
      </c>
      <c r="J13" s="57">
        <v>1</v>
      </c>
      <c r="K13" s="57" t="e">
        <f t="shared" ca="1" si="10"/>
        <v>#DIV/0!</v>
      </c>
      <c r="L13" s="57" t="e">
        <f t="shared" ca="1" si="1"/>
        <v>#VALUE!</v>
      </c>
      <c r="M13" s="57" t="e">
        <f t="shared" ca="1" si="2"/>
        <v>#VALUE!</v>
      </c>
      <c r="N13" s="57" t="e">
        <f t="shared" ca="1" si="11"/>
        <v>#VALUE!</v>
      </c>
      <c r="O13" s="95" t="e">
        <f t="shared" ca="1" si="3"/>
        <v>#VALUE!</v>
      </c>
      <c r="P13" s="19" t="str">
        <f t="shared" ca="1" si="4"/>
        <v/>
      </c>
      <c r="Q13" s="19" t="str">
        <f t="shared" ca="1" si="5"/>
        <v/>
      </c>
      <c r="R13" s="19" t="str">
        <f t="shared" ca="1" si="6"/>
        <v/>
      </c>
      <c r="S13" s="20" t="str">
        <f t="shared" ca="1" si="7"/>
        <v/>
      </c>
      <c r="Y13" s="1"/>
      <c r="Z13" s="1"/>
      <c r="AA13" s="1"/>
      <c r="AG13" s="18"/>
      <c r="AH13" s="18"/>
      <c r="AI13" s="18"/>
      <c r="AK13" s="1"/>
      <c r="AL13" s="1"/>
      <c r="AM13" s="1"/>
    </row>
    <row r="14" spans="1:39" x14ac:dyDescent="0.25">
      <c r="A14" s="28" t="str">
        <f t="shared" ca="1" si="0"/>
        <v>Wave-Burst Firing Rate</v>
      </c>
      <c r="B14" s="67">
        <f>$B$13</f>
        <v>82</v>
      </c>
      <c r="C14" s="68">
        <f>$C13+PropertyCols</f>
        <v>24</v>
      </c>
      <c r="D14" s="80" t="str">
        <f>ADDRESS($B14+2,$C14+1,4,1)&amp;":"&amp;ADDRESS($B14+2+Contents[[#Totals],[Retina ID]],$C14+1,4,1)</f>
        <v>Y84:Y84</v>
      </c>
      <c r="E14" s="48" t="str">
        <f>ADDRESS($B14+2,$C14+2,4,1)&amp;":"&amp;ADDRESS($B14+2+Contents[[#Totals],[Retina ID]],$C14+2,4,1)</f>
        <v>Z84:Z84</v>
      </c>
      <c r="F14" s="48" t="str">
        <f>ADDRESS($B14+2,$C14+3,4,1)&amp;":"&amp;ADDRESS($B14+2+Contents[[#Totals],[Retina ID]],$C14+3,4,1)</f>
        <v>AA84:AA84</v>
      </c>
      <c r="G14" s="81" t="str">
        <f>ADDRESS($B14+2,$C14+4,4,1)&amp;":"&amp;ADDRESS($B14+2+Contents[[#Totals],[Retina ID]],$C14+4,4,1)</f>
        <v>AB84:AB84</v>
      </c>
      <c r="H14" s="94" t="e">
        <f t="shared" ca="1" si="8"/>
        <v>#DIV/0!</v>
      </c>
      <c r="I14" s="57" t="e">
        <f t="shared" ca="1" si="9"/>
        <v>#DIV/0!</v>
      </c>
      <c r="J14" s="57">
        <v>1</v>
      </c>
      <c r="K14" s="57" t="e">
        <f t="shared" ca="1" si="10"/>
        <v>#DIV/0!</v>
      </c>
      <c r="L14" s="57" t="e">
        <f t="shared" ca="1" si="1"/>
        <v>#VALUE!</v>
      </c>
      <c r="M14" s="57" t="e">
        <f t="shared" ca="1" si="2"/>
        <v>#VALUE!</v>
      </c>
      <c r="N14" s="57" t="e">
        <f t="shared" ca="1" si="11"/>
        <v>#VALUE!</v>
      </c>
      <c r="O14" s="95" t="e">
        <f t="shared" ca="1" si="3"/>
        <v>#VALUE!</v>
      </c>
      <c r="P14" s="19" t="str">
        <f t="shared" ca="1" si="4"/>
        <v/>
      </c>
      <c r="Q14" s="19" t="str">
        <f t="shared" ca="1" si="5"/>
        <v/>
      </c>
      <c r="R14" s="19" t="str">
        <f t="shared" ca="1" si="6"/>
        <v/>
      </c>
      <c r="S14" s="20" t="str">
        <f t="shared" ca="1" si="7"/>
        <v/>
      </c>
      <c r="Y14" s="1"/>
      <c r="Z14" s="1"/>
      <c r="AA14" s="1"/>
      <c r="AG14" s="18"/>
      <c r="AH14" s="18"/>
      <c r="AI14" s="18"/>
      <c r="AK14" s="1"/>
      <c r="AL14" s="1"/>
      <c r="AM14" s="1"/>
    </row>
    <row r="15" spans="1:39" x14ac:dyDescent="0.25">
      <c r="A15" s="28" t="str">
        <f t="shared" ca="1" si="0"/>
        <v>Wave-Burst Interspike Interval</v>
      </c>
      <c r="B15" s="67">
        <f t="shared" ref="B15:B17" si="13">$B$13</f>
        <v>82</v>
      </c>
      <c r="C15" s="68">
        <f>$C14+PropertyCols</f>
        <v>31</v>
      </c>
      <c r="D15" s="80" t="str">
        <f>ADDRESS($B15+2,$C15+1,4,1)&amp;":"&amp;ADDRESS($B15+2+Contents[[#Totals],[Retina ID]],$C15+1,4,1)</f>
        <v>AF84:AF84</v>
      </c>
      <c r="E15" s="48" t="str">
        <f>ADDRESS($B15+2,$C15+2,4,1)&amp;":"&amp;ADDRESS($B15+2+Contents[[#Totals],[Retina ID]],$C15+2,4,1)</f>
        <v>AG84:AG84</v>
      </c>
      <c r="F15" s="48" t="str">
        <f>ADDRESS($B15+2,$C15+3,4,1)&amp;":"&amp;ADDRESS($B15+2+Contents[[#Totals],[Retina ID]],$C15+3,4,1)</f>
        <v>AH84:AH84</v>
      </c>
      <c r="G15" s="81" t="str">
        <f>ADDRESS($B15+2,$C15+4,4,1)&amp;":"&amp;ADDRESS($B15+2+Contents[[#Totals],[Retina ID]],$C15+4,4,1)</f>
        <v>AI84:AI84</v>
      </c>
      <c r="H15" s="94" t="e">
        <f t="shared" ca="1" si="8"/>
        <v>#DIV/0!</v>
      </c>
      <c r="I15" s="57" t="e">
        <f t="shared" ca="1" si="9"/>
        <v>#DIV/0!</v>
      </c>
      <c r="J15" s="57">
        <v>1</v>
      </c>
      <c r="K15" s="57" t="e">
        <f t="shared" ca="1" si="10"/>
        <v>#DIV/0!</v>
      </c>
      <c r="L15" s="57" t="e">
        <f t="shared" ca="1" si="1"/>
        <v>#VALUE!</v>
      </c>
      <c r="M15" s="57" t="e">
        <f t="shared" ca="1" si="2"/>
        <v>#VALUE!</v>
      </c>
      <c r="N15" s="57" t="e">
        <f t="shared" ca="1" si="11"/>
        <v>#VALUE!</v>
      </c>
      <c r="O15" s="95" t="e">
        <f t="shared" ca="1" si="3"/>
        <v>#VALUE!</v>
      </c>
      <c r="P15" s="19" t="str">
        <f t="shared" ca="1" si="4"/>
        <v/>
      </c>
      <c r="Q15" s="19" t="str">
        <f t="shared" ca="1" si="5"/>
        <v/>
      </c>
      <c r="R15" s="19" t="str">
        <f t="shared" ca="1" si="6"/>
        <v/>
      </c>
      <c r="S15" s="20" t="str">
        <f t="shared" ca="1" si="7"/>
        <v/>
      </c>
      <c r="Y15" s="1"/>
      <c r="Z15" s="1"/>
      <c r="AA15" s="1"/>
      <c r="AG15" s="18"/>
      <c r="AH15" s="18"/>
      <c r="AI15" s="18"/>
      <c r="AK15" s="1"/>
      <c r="AL15" s="1"/>
      <c r="AM15" s="1"/>
    </row>
    <row r="16" spans="1:39" x14ac:dyDescent="0.25">
      <c r="A16" s="28" t="str">
        <f t="shared" ca="1" si="0"/>
        <v>Percent Wave-Burst Time &gt;10 Hz</v>
      </c>
      <c r="B16" s="67">
        <f t="shared" si="13"/>
        <v>82</v>
      </c>
      <c r="C16" s="68">
        <f>$C15+PropertyCols</f>
        <v>38</v>
      </c>
      <c r="D16" s="80" t="str">
        <f>ADDRESS($B16+2,$C16+1,4,1)&amp;":"&amp;ADDRESS($B16+2+Contents[[#Totals],[Retina ID]],$C16+1,4,1)</f>
        <v>AM84:AM84</v>
      </c>
      <c r="E16" s="48" t="str">
        <f>ADDRESS($B16+2,$C16+2,4,1)&amp;":"&amp;ADDRESS($B16+2+Contents[[#Totals],[Retina ID]],$C16+2,4,1)</f>
        <v>AN84:AN84</v>
      </c>
      <c r="F16" s="48" t="str">
        <f>ADDRESS($B16+2,$C16+3,4,1)&amp;":"&amp;ADDRESS($B16+2+Contents[[#Totals],[Retina ID]],$C16+3,4,1)</f>
        <v>AO84:AO84</v>
      </c>
      <c r="G16" s="81" t="str">
        <f>ADDRESS($B16+2,$C16+4,4,1)&amp;":"&amp;ADDRESS($B16+2+Contents[[#Totals],[Retina ID]],$C16+4,4,1)</f>
        <v>AP84:AP84</v>
      </c>
      <c r="H16" s="94" t="e">
        <f t="shared" ca="1" si="8"/>
        <v>#DIV/0!</v>
      </c>
      <c r="I16" s="57" t="e">
        <f t="shared" ca="1" si="9"/>
        <v>#DIV/0!</v>
      </c>
      <c r="J16" s="57">
        <v>1</v>
      </c>
      <c r="K16" s="57" t="e">
        <f t="shared" ca="1" si="10"/>
        <v>#DIV/0!</v>
      </c>
      <c r="L16" s="57" t="e">
        <f t="shared" ca="1" si="1"/>
        <v>#VALUE!</v>
      </c>
      <c r="M16" s="57" t="e">
        <f t="shared" ca="1" si="2"/>
        <v>#VALUE!</v>
      </c>
      <c r="N16" s="57" t="e">
        <f t="shared" ca="1" si="11"/>
        <v>#VALUE!</v>
      </c>
      <c r="O16" s="95" t="e">
        <f t="shared" ca="1" si="3"/>
        <v>#VALUE!</v>
      </c>
      <c r="P16" s="19" t="str">
        <f t="shared" ca="1" si="4"/>
        <v/>
      </c>
      <c r="Q16" s="19" t="str">
        <f t="shared" ca="1" si="5"/>
        <v/>
      </c>
      <c r="R16" s="19" t="str">
        <f t="shared" ca="1" si="6"/>
        <v/>
      </c>
      <c r="S16" s="20" t="str">
        <f t="shared" ca="1" si="7"/>
        <v/>
      </c>
      <c r="Y16" s="1"/>
      <c r="Z16" s="1"/>
      <c r="AA16" s="1"/>
      <c r="AG16" s="18"/>
      <c r="AH16" s="18"/>
      <c r="AI16" s="18"/>
      <c r="AK16" s="1"/>
      <c r="AL16" s="1"/>
      <c r="AM16" s="1"/>
    </row>
    <row r="17" spans="1:39" x14ac:dyDescent="0.25">
      <c r="A17" s="34" t="str">
        <f t="shared" ca="1" si="0"/>
        <v>Spikes Per Wave-Burst</v>
      </c>
      <c r="B17" s="54">
        <f t="shared" si="13"/>
        <v>82</v>
      </c>
      <c r="C17" s="69">
        <f>$C16+PropertyCols</f>
        <v>45</v>
      </c>
      <c r="D17" s="82" t="str">
        <f>ADDRESS($B17+2,$C17+1,4,1)&amp;":"&amp;ADDRESS($B17+2+Contents[[#Totals],[Retina ID]],$C17+1,4,1)</f>
        <v>AT84:AT84</v>
      </c>
      <c r="E17" s="49" t="str">
        <f>ADDRESS($B17+2,$C17+2,4,1)&amp;":"&amp;ADDRESS($B17+2+Contents[[#Totals],[Retina ID]],$C17+2,4,1)</f>
        <v>AU84:AU84</v>
      </c>
      <c r="F17" s="49" t="str">
        <f>ADDRESS($B17+2,$C17+3,4,1)&amp;":"&amp;ADDRESS($B17+2+Contents[[#Totals],[Retina ID]],$C17+3,4,1)</f>
        <v>AV84:AV84</v>
      </c>
      <c r="G17" s="83" t="str">
        <f>ADDRESS($B17+2,$C17+4,4,1)&amp;":"&amp;ADDRESS($B17+2+Contents[[#Totals],[Retina ID]],$C17+4,4,1)</f>
        <v>AW84:AW84</v>
      </c>
      <c r="H17" s="96" t="e">
        <f t="shared" ca="1" si="8"/>
        <v>#DIV/0!</v>
      </c>
      <c r="I17" s="58" t="e">
        <f t="shared" ca="1" si="9"/>
        <v>#DIV/0!</v>
      </c>
      <c r="J17" s="58">
        <v>1</v>
      </c>
      <c r="K17" s="58" t="e">
        <f t="shared" ca="1" si="10"/>
        <v>#DIV/0!</v>
      </c>
      <c r="L17" s="58" t="e">
        <f t="shared" ca="1" si="1"/>
        <v>#VALUE!</v>
      </c>
      <c r="M17" s="58" t="e">
        <f t="shared" ca="1" si="2"/>
        <v>#VALUE!</v>
      </c>
      <c r="N17" s="58" t="e">
        <f t="shared" ca="1" si="11"/>
        <v>#VALUE!</v>
      </c>
      <c r="O17" s="97" t="e">
        <f t="shared" ca="1" si="3"/>
        <v>#VALUE!</v>
      </c>
      <c r="P17" s="35" t="str">
        <f t="shared" ca="1" si="4"/>
        <v/>
      </c>
      <c r="Q17" s="35" t="str">
        <f t="shared" ca="1" si="5"/>
        <v/>
      </c>
      <c r="R17" s="35" t="str">
        <f t="shared" ca="1" si="6"/>
        <v/>
      </c>
      <c r="S17" s="36" t="str">
        <f t="shared" ca="1" si="7"/>
        <v/>
      </c>
      <c r="Y17" s="1"/>
      <c r="Z17" s="1"/>
      <c r="AA17" s="1"/>
      <c r="AG17" s="18"/>
      <c r="AH17" s="18"/>
      <c r="AI17" s="18"/>
      <c r="AK17" s="1"/>
      <c r="AL17" s="1"/>
      <c r="AM17" s="1"/>
    </row>
    <row r="18" spans="1:39" x14ac:dyDescent="0.25">
      <c r="A18" s="29" t="str">
        <f t="shared" ca="1" si="0"/>
        <v>Non-Wave-Burst Duration</v>
      </c>
      <c r="B18" s="70">
        <f>$B$13+PropertyRows</f>
        <v>114</v>
      </c>
      <c r="C18" s="71">
        <f>$C$7</f>
        <v>17</v>
      </c>
      <c r="D18" s="84" t="str">
        <f>ADDRESS($B18+2,$C18+1,4,1)&amp;":"&amp;ADDRESS($B18+2+Contents[[#Totals],[Retina ID]],$C18+1,4,1)</f>
        <v>R116:R116</v>
      </c>
      <c r="E18" s="50" t="str">
        <f>ADDRESS($B18+2,$C18+2,4,1)&amp;":"&amp;ADDRESS($B18+2+Contents[[#Totals],[Retina ID]],$C18+2,4,1)</f>
        <v>S116:S116</v>
      </c>
      <c r="F18" s="50" t="str">
        <f>ADDRESS($B18+2,$C18+3,4,1)&amp;":"&amp;ADDRESS($B18+2+Contents[[#Totals],[Retina ID]],$C18+3,4,1)</f>
        <v>T116:T116</v>
      </c>
      <c r="G18" s="85" t="str">
        <f>ADDRESS($B18+2,$C18+4,4,1)&amp;":"&amp;ADDRESS($B18+2+Contents[[#Totals],[Retina ID]],$C18+4,4,1)</f>
        <v>U116:U116</v>
      </c>
      <c r="H18" s="98" t="e">
        <f t="shared" ca="1" si="8"/>
        <v>#DIV/0!</v>
      </c>
      <c r="I18" s="59" t="e">
        <f t="shared" ca="1" si="9"/>
        <v>#DIV/0!</v>
      </c>
      <c r="J18" s="59">
        <v>1</v>
      </c>
      <c r="K18" s="59" t="e">
        <f t="shared" ca="1" si="10"/>
        <v>#DIV/0!</v>
      </c>
      <c r="L18" s="59" t="e">
        <f t="shared" ca="1" si="1"/>
        <v>#VALUE!</v>
      </c>
      <c r="M18" s="59" t="e">
        <f t="shared" ca="1" si="2"/>
        <v>#VALUE!</v>
      </c>
      <c r="N18" s="59" t="e">
        <f t="shared" ca="1" si="11"/>
        <v>#VALUE!</v>
      </c>
      <c r="O18" s="99" t="e">
        <f t="shared" ca="1" si="3"/>
        <v>#VALUE!</v>
      </c>
      <c r="P18" s="21" t="str">
        <f t="shared" ca="1" si="4"/>
        <v/>
      </c>
      <c r="Q18" s="21" t="str">
        <f t="shared" ca="1" si="5"/>
        <v/>
      </c>
      <c r="R18" s="21" t="str">
        <f t="shared" ca="1" si="6"/>
        <v/>
      </c>
      <c r="S18" s="22" t="str">
        <f t="shared" ca="1" si="7"/>
        <v/>
      </c>
      <c r="Y18" s="1"/>
      <c r="Z18" s="1"/>
      <c r="AA18" s="1"/>
      <c r="AG18" s="18"/>
      <c r="AH18" s="18"/>
      <c r="AI18" s="18"/>
      <c r="AK18" s="1"/>
      <c r="AL18" s="1"/>
      <c r="AM18" s="1"/>
    </row>
    <row r="19" spans="1:39" x14ac:dyDescent="0.25">
      <c r="A19" s="29" t="str">
        <f t="shared" ca="1" si="0"/>
        <v>Non-Wave-Burst Firing Rate</v>
      </c>
      <c r="B19" s="70">
        <f>$B$18</f>
        <v>114</v>
      </c>
      <c r="C19" s="71">
        <f>$C18+PropertyCols</f>
        <v>24</v>
      </c>
      <c r="D19" s="84" t="str">
        <f>ADDRESS($B19+2,$C19+1,4,1)&amp;":"&amp;ADDRESS($B19+2+Contents[[#Totals],[Retina ID]],$C19+1,4,1)</f>
        <v>Y116:Y116</v>
      </c>
      <c r="E19" s="50" t="str">
        <f>ADDRESS($B19+2,$C19+2,4,1)&amp;":"&amp;ADDRESS($B19+2+Contents[[#Totals],[Retina ID]],$C19+2,4,1)</f>
        <v>Z116:Z116</v>
      </c>
      <c r="F19" s="50" t="str">
        <f>ADDRESS($B19+2,$C19+3,4,1)&amp;":"&amp;ADDRESS($B19+2+Contents[[#Totals],[Retina ID]],$C19+3,4,1)</f>
        <v>AA116:AA116</v>
      </c>
      <c r="G19" s="85" t="str">
        <f>ADDRESS($B19+2,$C19+4,4,1)&amp;":"&amp;ADDRESS($B19+2+Contents[[#Totals],[Retina ID]],$C19+4,4,1)</f>
        <v>AB116:AB116</v>
      </c>
      <c r="H19" s="98" t="e">
        <f t="shared" ca="1" si="8"/>
        <v>#DIV/0!</v>
      </c>
      <c r="I19" s="59" t="e">
        <f t="shared" ca="1" si="9"/>
        <v>#DIV/0!</v>
      </c>
      <c r="J19" s="59">
        <v>1</v>
      </c>
      <c r="K19" s="59" t="e">
        <f t="shared" ca="1" si="10"/>
        <v>#DIV/0!</v>
      </c>
      <c r="L19" s="59" t="e">
        <f t="shared" ca="1" si="1"/>
        <v>#VALUE!</v>
      </c>
      <c r="M19" s="59" t="e">
        <f t="shared" ca="1" si="2"/>
        <v>#VALUE!</v>
      </c>
      <c r="N19" s="59" t="e">
        <f t="shared" ca="1" si="11"/>
        <v>#VALUE!</v>
      </c>
      <c r="O19" s="99" t="e">
        <f t="shared" ca="1" si="3"/>
        <v>#VALUE!</v>
      </c>
      <c r="P19" s="21" t="str">
        <f t="shared" ca="1" si="4"/>
        <v/>
      </c>
      <c r="Q19" s="21" t="str">
        <f t="shared" ca="1" si="5"/>
        <v/>
      </c>
      <c r="R19" s="21" t="str">
        <f t="shared" ca="1" si="6"/>
        <v/>
      </c>
      <c r="S19" s="22" t="str">
        <f t="shared" ca="1" si="7"/>
        <v/>
      </c>
      <c r="Y19" s="1"/>
      <c r="Z19" s="1"/>
      <c r="AA19" s="1"/>
      <c r="AG19" s="18"/>
      <c r="AH19" s="18"/>
      <c r="AI19" s="18"/>
      <c r="AK19" s="1"/>
      <c r="AL19" s="1"/>
      <c r="AM19" s="1"/>
    </row>
    <row r="20" spans="1:39" x14ac:dyDescent="0.25">
      <c r="A20" s="29" t="str">
        <f t="shared" ca="1" si="0"/>
        <v>Non-Wave-Burst Interspike Interval</v>
      </c>
      <c r="B20" s="70">
        <f t="shared" ref="B20:B22" si="14">$B$18</f>
        <v>114</v>
      </c>
      <c r="C20" s="71">
        <f>$C19+PropertyCols</f>
        <v>31</v>
      </c>
      <c r="D20" s="84" t="str">
        <f>ADDRESS($B20+2,$C20+1,4,1)&amp;":"&amp;ADDRESS($B20+2+Contents[[#Totals],[Retina ID]],$C20+1,4,1)</f>
        <v>AF116:AF116</v>
      </c>
      <c r="E20" s="50" t="str">
        <f>ADDRESS($B20+2,$C20+2,4,1)&amp;":"&amp;ADDRESS($B20+2+Contents[[#Totals],[Retina ID]],$C20+2,4,1)</f>
        <v>AG116:AG116</v>
      </c>
      <c r="F20" s="50" t="str">
        <f>ADDRESS($B20+2,$C20+3,4,1)&amp;":"&amp;ADDRESS($B20+2+Contents[[#Totals],[Retina ID]],$C20+3,4,1)</f>
        <v>AH116:AH116</v>
      </c>
      <c r="G20" s="85" t="str">
        <f>ADDRESS($B20+2,$C20+4,4,1)&amp;":"&amp;ADDRESS($B20+2+Contents[[#Totals],[Retina ID]],$C20+4,4,1)</f>
        <v>AI116:AI116</v>
      </c>
      <c r="H20" s="98" t="e">
        <f t="shared" ca="1" si="8"/>
        <v>#DIV/0!</v>
      </c>
      <c r="I20" s="59" t="e">
        <f t="shared" ca="1" si="9"/>
        <v>#DIV/0!</v>
      </c>
      <c r="J20" s="59">
        <v>1</v>
      </c>
      <c r="K20" s="59" t="e">
        <f t="shared" ca="1" si="10"/>
        <v>#DIV/0!</v>
      </c>
      <c r="L20" s="59" t="e">
        <f t="shared" ca="1" si="1"/>
        <v>#VALUE!</v>
      </c>
      <c r="M20" s="59" t="e">
        <f t="shared" ca="1" si="2"/>
        <v>#VALUE!</v>
      </c>
      <c r="N20" s="59" t="e">
        <f t="shared" ca="1" si="11"/>
        <v>#VALUE!</v>
      </c>
      <c r="O20" s="99" t="e">
        <f t="shared" ca="1" si="3"/>
        <v>#VALUE!</v>
      </c>
      <c r="P20" s="21" t="str">
        <f t="shared" ca="1" si="4"/>
        <v/>
      </c>
      <c r="Q20" s="21" t="str">
        <f t="shared" ca="1" si="5"/>
        <v/>
      </c>
      <c r="R20" s="21" t="str">
        <f t="shared" ca="1" si="6"/>
        <v/>
      </c>
      <c r="S20" s="22" t="str">
        <f t="shared" ca="1" si="7"/>
        <v/>
      </c>
      <c r="Y20" s="1"/>
      <c r="Z20" s="1"/>
      <c r="AA20" s="1"/>
      <c r="AG20" s="18"/>
      <c r="AH20" s="18"/>
      <c r="AI20" s="18"/>
      <c r="AK20" s="1"/>
      <c r="AL20" s="1"/>
      <c r="AM20" s="1"/>
    </row>
    <row r="21" spans="1:39" x14ac:dyDescent="0.25">
      <c r="A21" s="29" t="str">
        <f t="shared" ca="1" si="0"/>
        <v>Percent Non-Wave-Burst Time &gt;10 Hz</v>
      </c>
      <c r="B21" s="70">
        <f t="shared" si="14"/>
        <v>114</v>
      </c>
      <c r="C21" s="71">
        <f>$C20+PropertyCols</f>
        <v>38</v>
      </c>
      <c r="D21" s="84" t="str">
        <f>ADDRESS($B21+2,$C21+1,4,1)&amp;":"&amp;ADDRESS($B21+2+Contents[[#Totals],[Retina ID]],$C21+1,4,1)</f>
        <v>AM116:AM116</v>
      </c>
      <c r="E21" s="50" t="str">
        <f>ADDRESS($B21+2,$C21+2,4,1)&amp;":"&amp;ADDRESS($B21+2+Contents[[#Totals],[Retina ID]],$C21+2,4,1)</f>
        <v>AN116:AN116</v>
      </c>
      <c r="F21" s="50" t="str">
        <f>ADDRESS($B21+2,$C21+3,4,1)&amp;":"&amp;ADDRESS($B21+2+Contents[[#Totals],[Retina ID]],$C21+3,4,1)</f>
        <v>AO116:AO116</v>
      </c>
      <c r="G21" s="85" t="str">
        <f>ADDRESS($B21+2,$C21+4,4,1)&amp;":"&amp;ADDRESS($B21+2+Contents[[#Totals],[Retina ID]],$C21+4,4,1)</f>
        <v>AP116:AP116</v>
      </c>
      <c r="H21" s="98" t="e">
        <f t="shared" ca="1" si="8"/>
        <v>#DIV/0!</v>
      </c>
      <c r="I21" s="59" t="e">
        <f t="shared" ca="1" si="9"/>
        <v>#DIV/0!</v>
      </c>
      <c r="J21" s="59">
        <v>1</v>
      </c>
      <c r="K21" s="59" t="e">
        <f t="shared" ca="1" si="10"/>
        <v>#DIV/0!</v>
      </c>
      <c r="L21" s="59" t="e">
        <f t="shared" ca="1" si="1"/>
        <v>#VALUE!</v>
      </c>
      <c r="M21" s="59" t="e">
        <f t="shared" ca="1" si="2"/>
        <v>#VALUE!</v>
      </c>
      <c r="N21" s="59" t="e">
        <f t="shared" ca="1" si="11"/>
        <v>#VALUE!</v>
      </c>
      <c r="O21" s="99" t="e">
        <f t="shared" ca="1" si="3"/>
        <v>#VALUE!</v>
      </c>
      <c r="P21" s="21" t="str">
        <f t="shared" ca="1" si="4"/>
        <v/>
      </c>
      <c r="Q21" s="21" t="str">
        <f t="shared" ca="1" si="5"/>
        <v/>
      </c>
      <c r="R21" s="21" t="str">
        <f t="shared" ca="1" si="6"/>
        <v/>
      </c>
      <c r="S21" s="22" t="str">
        <f t="shared" ca="1" si="7"/>
        <v/>
      </c>
      <c r="Y21" s="1"/>
      <c r="Z21" s="1"/>
      <c r="AA21" s="1"/>
      <c r="AG21" s="18"/>
      <c r="AH21" s="18"/>
      <c r="AI21" s="18"/>
      <c r="AK21" s="1"/>
      <c r="AL21" s="1"/>
      <c r="AM21" s="1"/>
    </row>
    <row r="22" spans="1:39" ht="15.75" thickBot="1" x14ac:dyDescent="0.3">
      <c r="A22" s="30" t="str">
        <f t="shared" ca="1" si="0"/>
        <v>Spikes Per Non-Wave-Burst</v>
      </c>
      <c r="B22" s="72">
        <f t="shared" si="14"/>
        <v>114</v>
      </c>
      <c r="C22" s="73">
        <f>$C21+PropertyCols</f>
        <v>45</v>
      </c>
      <c r="D22" s="86" t="str">
        <f>ADDRESS($B22+2,$C22+1,4,1)&amp;":"&amp;ADDRESS($B22+2+Contents[[#Totals],[Retina ID]],$C22+1,4,1)</f>
        <v>AT116:AT116</v>
      </c>
      <c r="E22" s="51" t="str">
        <f>ADDRESS($B22+2,$C22+2,4,1)&amp;":"&amp;ADDRESS($B22+2+Contents[[#Totals],[Retina ID]],$C22+2,4,1)</f>
        <v>AU116:AU116</v>
      </c>
      <c r="F22" s="51" t="str">
        <f>ADDRESS($B22+2,$C22+3,4,1)&amp;":"&amp;ADDRESS($B22+2+Contents[[#Totals],[Retina ID]],$C22+3,4,1)</f>
        <v>AV116:AV116</v>
      </c>
      <c r="G22" s="87" t="str">
        <f>ADDRESS($B22+2,$C22+4,4,1)&amp;":"&amp;ADDRESS($B22+2+Contents[[#Totals],[Retina ID]],$C22+4,4,1)</f>
        <v>AW116:AW116</v>
      </c>
      <c r="H22" s="100" t="e">
        <f t="shared" ca="1" si="8"/>
        <v>#DIV/0!</v>
      </c>
      <c r="I22" s="60" t="e">
        <f t="shared" ca="1" si="9"/>
        <v>#DIV/0!</v>
      </c>
      <c r="J22" s="60">
        <v>1</v>
      </c>
      <c r="K22" s="60" t="e">
        <f t="shared" ca="1" si="10"/>
        <v>#DIV/0!</v>
      </c>
      <c r="L22" s="60" t="e">
        <f t="shared" ca="1" si="1"/>
        <v>#VALUE!</v>
      </c>
      <c r="M22" s="60" t="e">
        <f t="shared" ca="1" si="2"/>
        <v>#VALUE!</v>
      </c>
      <c r="N22" s="60" t="e">
        <f t="shared" ca="1" si="11"/>
        <v>#VALUE!</v>
      </c>
      <c r="O22" s="101" t="e">
        <f t="shared" ca="1" si="3"/>
        <v>#VALUE!</v>
      </c>
      <c r="P22" s="23" t="str">
        <f t="shared" ca="1" si="4"/>
        <v/>
      </c>
      <c r="Q22" s="23" t="str">
        <f t="shared" ca="1" si="5"/>
        <v/>
      </c>
      <c r="R22" s="23" t="str">
        <f t="shared" ca="1" si="6"/>
        <v/>
      </c>
      <c r="S22" s="24" t="str">
        <f t="shared" ca="1" si="7"/>
        <v/>
      </c>
      <c r="Y22" s="1"/>
      <c r="Z22" s="1"/>
      <c r="AA22" s="1"/>
      <c r="AG22" s="18"/>
      <c r="AH22" s="18"/>
      <c r="AI22" s="18"/>
      <c r="AK22" s="1"/>
      <c r="AL22" s="1"/>
      <c r="AM22" s="1"/>
    </row>
    <row r="31" spans="1:39" s="102" customFormat="1" x14ac:dyDescent="0.25">
      <c r="Q31" s="10"/>
      <c r="R31" s="10"/>
      <c r="S31" s="10"/>
      <c r="T31" s="10"/>
      <c r="U31" s="10"/>
      <c r="V31" s="10"/>
      <c r="W31" s="10"/>
      <c r="X31" s="10"/>
      <c r="AG31" s="10"/>
      <c r="AH31" s="10"/>
      <c r="AI31" s="10"/>
      <c r="AJ31" s="10"/>
    </row>
    <row r="33" spans="1:36" x14ac:dyDescent="0.25">
      <c r="J33"/>
      <c r="K33"/>
      <c r="M33"/>
      <c r="N33"/>
      <c r="O33"/>
    </row>
    <row r="34" spans="1:36" ht="15" customHeight="1" x14ac:dyDescent="0.25">
      <c r="A34" s="105" t="s">
        <v>14</v>
      </c>
      <c r="J34"/>
      <c r="K34"/>
      <c r="M34"/>
      <c r="N34"/>
      <c r="O34"/>
      <c r="AG34" s="18"/>
      <c r="AH34" s="18"/>
      <c r="AI34" s="18"/>
      <c r="AJ34" s="18"/>
    </row>
    <row r="35" spans="1:36" x14ac:dyDescent="0.25">
      <c r="A35" s="105"/>
      <c r="J35"/>
      <c r="K35"/>
      <c r="M35"/>
      <c r="N35"/>
      <c r="O35"/>
      <c r="AG35" s="18"/>
      <c r="AH35" s="18"/>
      <c r="AI35" s="18"/>
      <c r="AJ35" s="18"/>
    </row>
    <row r="36" spans="1:36" x14ac:dyDescent="0.25">
      <c r="A36" s="105"/>
      <c r="J36"/>
      <c r="K36"/>
      <c r="M36"/>
      <c r="N36"/>
      <c r="O36"/>
      <c r="AG36" s="18"/>
      <c r="AH36" s="18"/>
      <c r="AI36" s="18"/>
      <c r="AJ36" s="18"/>
    </row>
    <row r="37" spans="1:36" x14ac:dyDescent="0.25">
      <c r="A37" s="105"/>
      <c r="J37"/>
      <c r="K37"/>
      <c r="M37"/>
      <c r="N37"/>
      <c r="O37"/>
      <c r="AG37" s="18"/>
      <c r="AH37" s="18"/>
      <c r="AI37" s="18"/>
      <c r="AJ37" s="18"/>
    </row>
    <row r="38" spans="1:36" x14ac:dyDescent="0.25">
      <c r="A38" s="105"/>
      <c r="J38"/>
      <c r="K38"/>
      <c r="M38"/>
      <c r="N38"/>
      <c r="O38"/>
      <c r="AG38" s="18"/>
      <c r="AH38" s="18"/>
      <c r="AI38" s="18"/>
      <c r="AJ38" s="18"/>
    </row>
    <row r="39" spans="1:36" x14ac:dyDescent="0.25">
      <c r="A39" s="105"/>
      <c r="J39"/>
      <c r="K39"/>
      <c r="M39"/>
      <c r="N39"/>
      <c r="O39"/>
      <c r="AG39" s="18"/>
      <c r="AH39" s="18"/>
      <c r="AI39" s="18"/>
      <c r="AJ39" s="18"/>
    </row>
    <row r="40" spans="1:36" x14ac:dyDescent="0.25">
      <c r="A40" s="105"/>
      <c r="J40"/>
      <c r="K40"/>
      <c r="M40"/>
      <c r="N40"/>
      <c r="O40"/>
      <c r="AG40" s="18"/>
      <c r="AH40" s="18"/>
      <c r="AI40" s="18"/>
      <c r="AJ40" s="18"/>
    </row>
    <row r="41" spans="1:36" x14ac:dyDescent="0.25">
      <c r="A41" s="105"/>
      <c r="J41"/>
      <c r="K41"/>
      <c r="M41"/>
      <c r="N41"/>
      <c r="O41"/>
      <c r="AG41" s="18"/>
      <c r="AH41" s="18"/>
      <c r="AI41" s="18"/>
      <c r="AJ41" s="18"/>
    </row>
    <row r="42" spans="1:36" x14ac:dyDescent="0.25">
      <c r="A42" s="105"/>
      <c r="J42"/>
      <c r="K42"/>
      <c r="M42"/>
      <c r="N42"/>
      <c r="O42"/>
      <c r="AG42" s="18"/>
      <c r="AH42" s="18"/>
      <c r="AI42" s="18"/>
      <c r="AJ42" s="18"/>
    </row>
    <row r="43" spans="1:36" x14ac:dyDescent="0.25">
      <c r="A43" s="105"/>
      <c r="J43"/>
      <c r="K43"/>
      <c r="M43"/>
      <c r="N43"/>
      <c r="O43"/>
      <c r="AG43" s="18"/>
      <c r="AH43" s="18"/>
      <c r="AI43" s="18"/>
      <c r="AJ43" s="18"/>
    </row>
    <row r="44" spans="1:36" x14ac:dyDescent="0.25">
      <c r="A44" s="105"/>
      <c r="J44"/>
      <c r="K44"/>
      <c r="M44"/>
      <c r="N44"/>
      <c r="O44"/>
      <c r="AG44" s="18"/>
      <c r="AH44" s="18"/>
      <c r="AI44" s="18"/>
      <c r="AJ44" s="18"/>
    </row>
    <row r="45" spans="1:36" x14ac:dyDescent="0.25">
      <c r="A45" s="105"/>
      <c r="J45"/>
      <c r="K45"/>
      <c r="M45"/>
      <c r="N45"/>
      <c r="O45"/>
      <c r="AG45" s="18"/>
      <c r="AH45" s="18"/>
      <c r="AI45" s="18"/>
      <c r="AJ45" s="18"/>
    </row>
    <row r="46" spans="1:36" x14ac:dyDescent="0.25">
      <c r="A46" s="105"/>
      <c r="AG46" s="18"/>
      <c r="AH46" s="18"/>
      <c r="AI46" s="18"/>
      <c r="AJ46" s="18"/>
    </row>
    <row r="47" spans="1:36" x14ac:dyDescent="0.25">
      <c r="A47" s="105"/>
      <c r="AG47" s="18"/>
      <c r="AH47" s="18"/>
      <c r="AI47" s="18"/>
      <c r="AJ47" s="18"/>
    </row>
    <row r="48" spans="1:36" x14ac:dyDescent="0.25">
      <c r="A48" s="105"/>
      <c r="AG48" s="18"/>
      <c r="AH48" s="18"/>
      <c r="AI48" s="18"/>
      <c r="AJ48" s="18"/>
    </row>
    <row r="49" spans="1:56" x14ac:dyDescent="0.25">
      <c r="A49" s="105"/>
      <c r="Q49" s="1">
        <v>0</v>
      </c>
      <c r="X49" s="1">
        <v>1</v>
      </c>
      <c r="AE49" s="1">
        <v>2</v>
      </c>
      <c r="AG49" s="18"/>
      <c r="AH49" s="18"/>
      <c r="AI49" s="18"/>
      <c r="AJ49" s="18"/>
      <c r="AL49" s="1">
        <v>3</v>
      </c>
      <c r="AS49" s="1">
        <v>4</v>
      </c>
      <c r="AZ49" s="1">
        <v>5</v>
      </c>
    </row>
    <row r="50" spans="1:56" ht="15.75" thickBot="1" x14ac:dyDescent="0.3">
      <c r="A50" s="105"/>
      <c r="Q50" s="104" t="s">
        <v>1</v>
      </c>
      <c r="R50" s="104"/>
      <c r="S50" s="104"/>
      <c r="T50" s="104"/>
      <c r="U50" s="104"/>
      <c r="X50" s="104" t="s">
        <v>2</v>
      </c>
      <c r="Y50" s="104"/>
      <c r="Z50" s="104"/>
      <c r="AA50" s="104"/>
      <c r="AB50" s="104"/>
      <c r="AE50" s="104" t="s">
        <v>3</v>
      </c>
      <c r="AF50" s="104"/>
      <c r="AG50" s="104"/>
      <c r="AH50" s="104"/>
      <c r="AI50" s="104"/>
      <c r="AJ50" s="18"/>
      <c r="AL50" s="104" t="s">
        <v>4</v>
      </c>
      <c r="AM50" s="104"/>
      <c r="AN50" s="104"/>
      <c r="AO50" s="104"/>
      <c r="AP50" s="104"/>
      <c r="AS50" s="104" t="s">
        <v>1</v>
      </c>
      <c r="AT50" s="104"/>
      <c r="AU50" s="104"/>
      <c r="AV50" s="104"/>
      <c r="AW50" s="104"/>
      <c r="AZ50" s="104" t="s">
        <v>25</v>
      </c>
      <c r="BA50" s="104"/>
      <c r="BB50" s="104"/>
      <c r="BC50" s="104"/>
      <c r="BD50" s="104"/>
    </row>
    <row r="51" spans="1:56" x14ac:dyDescent="0.25">
      <c r="A51" s="105"/>
      <c r="Q51" s="3" t="s">
        <v>0</v>
      </c>
      <c r="R51" s="3" t="s">
        <v>6</v>
      </c>
      <c r="S51" s="3" t="s">
        <v>23</v>
      </c>
      <c r="T51" s="3" t="s">
        <v>33</v>
      </c>
      <c r="U51" s="3" t="s">
        <v>32</v>
      </c>
      <c r="X51" s="3" t="s">
        <v>0</v>
      </c>
      <c r="Y51" s="3" t="s">
        <v>6</v>
      </c>
      <c r="Z51" s="3" t="s">
        <v>23</v>
      </c>
      <c r="AA51" s="3" t="s">
        <v>33</v>
      </c>
      <c r="AB51" s="3" t="s">
        <v>32</v>
      </c>
      <c r="AE51" s="3" t="s">
        <v>0</v>
      </c>
      <c r="AF51" s="3" t="s">
        <v>6</v>
      </c>
      <c r="AG51" s="3" t="s">
        <v>23</v>
      </c>
      <c r="AH51" s="3" t="s">
        <v>33</v>
      </c>
      <c r="AI51" s="3" t="s">
        <v>32</v>
      </c>
      <c r="AJ51" s="18"/>
      <c r="AL51" s="3" t="s">
        <v>0</v>
      </c>
      <c r="AM51" s="3" t="s">
        <v>6</v>
      </c>
      <c r="AN51" s="3" t="s">
        <v>23</v>
      </c>
      <c r="AO51" s="3" t="s">
        <v>33</v>
      </c>
      <c r="AP51" s="3" t="s">
        <v>32</v>
      </c>
      <c r="AS51" s="3" t="s">
        <v>0</v>
      </c>
      <c r="AT51" s="3" t="s">
        <v>6</v>
      </c>
      <c r="AU51" s="3" t="s">
        <v>23</v>
      </c>
      <c r="AV51" s="3" t="s">
        <v>33</v>
      </c>
      <c r="AW51" s="3" t="s">
        <v>32</v>
      </c>
      <c r="AZ51" s="3" t="s">
        <v>0</v>
      </c>
      <c r="BA51" s="3" t="s">
        <v>6</v>
      </c>
      <c r="BB51" s="3" t="s">
        <v>23</v>
      </c>
      <c r="BC51" s="3" t="s">
        <v>33</v>
      </c>
      <c r="BD51" s="3" t="s">
        <v>32</v>
      </c>
    </row>
    <row r="52" spans="1:56" x14ac:dyDescent="0.25">
      <c r="A52" s="105"/>
      <c r="Q52" s="3">
        <v>1</v>
      </c>
      <c r="R52" s="1" t="str">
        <f ca="1">IFERROR(AVERAGEIF(WT_Dark_All[Retina],Q52,OFFSET(WT_Dark_All[BkgrdFiringRate],0,Q$49)),"")</f>
        <v/>
      </c>
      <c r="S52" s="1" t="str">
        <f ca="1">IFERROR(AVERAGEIF(DTA_Dark_All[Retina],Q52,OFFSET(DTA_Dark_All[BkgrdFiringRate],0,Q$49)),"")</f>
        <v/>
      </c>
      <c r="T52" s="1" t="str">
        <f ca="1">IFERROR(R52/AVERAGE(R$52:R$58),"")</f>
        <v/>
      </c>
      <c r="U52" s="1" t="str">
        <f ca="1">IFERROR(S52/AVERAGE(R$52:R$58)-1,"")</f>
        <v/>
      </c>
      <c r="X52" s="3">
        <v>1</v>
      </c>
      <c r="Y52" s="1" t="str">
        <f ca="1">IFERROR(AVERAGEIF(WT_Dark_All[Retina],X52,OFFSET(WT_Dark_All[BkgrdFiringRate],0,X$49)),"")</f>
        <v/>
      </c>
      <c r="Z52" s="1" t="str">
        <f ca="1">IFERROR(AVERAGEIF(DTA_Dark_All[Retina],X52,OFFSET(DTA_Dark_All[BkgrdFiringRate],0,X$49)),"")</f>
        <v/>
      </c>
      <c r="AA52" s="1" t="str">
        <f ca="1">IFERROR(Y52/AVERAGE(Y$52:Y$58),"")</f>
        <v/>
      </c>
      <c r="AB52" s="1" t="str">
        <f ca="1">IFERROR(Z52/AVERAGE(Y$52:Y$58)-1,"")</f>
        <v/>
      </c>
      <c r="AE52" s="3">
        <v>1</v>
      </c>
      <c r="AF52" s="1" t="str">
        <f ca="1">IFERROR(AVERAGEIF(WT_Dark_All[Retina],AE52,OFFSET(WT_Dark_All[BkgrdFiringRate],0,AE$49)),"")</f>
        <v/>
      </c>
      <c r="AG52" s="1" t="str">
        <f ca="1">IFERROR(AVERAGEIF(DTA_Dark_All[Retina],AE52,OFFSET(DTA_Dark_All[BkgrdFiringRate],0,AE$49)),"")</f>
        <v/>
      </c>
      <c r="AH52" s="1" t="str">
        <f ca="1">IFERROR(AF52/AVERAGE(AF$52:AF$58),"")</f>
        <v/>
      </c>
      <c r="AI52" s="1" t="str">
        <f ca="1">IFERROR(AG52/AVERAGE(AF$52:AF$58)-1,"")</f>
        <v/>
      </c>
      <c r="AJ52" s="18"/>
      <c r="AL52" s="3">
        <v>1</v>
      </c>
      <c r="AM52" s="1" t="str">
        <f ca="1">IFERROR(AVERAGEIF(WT_Dark_All[Retina],AL52,OFFSET(WT_Dark_All[BkgrdFiringRate],0,AL$49)),"")</f>
        <v/>
      </c>
      <c r="AN52" s="1" t="str">
        <f ca="1">IFERROR(AVERAGEIF(DTA_Dark_All[Retina],AL52,OFFSET(DTA_Dark_All[BkgrdFiringRate],0,AL$49)),"")</f>
        <v/>
      </c>
      <c r="AO52" s="1" t="str">
        <f ca="1">IFERROR(AM52/AVERAGE(AM$52:AM$58),"")</f>
        <v/>
      </c>
      <c r="AP52" s="1" t="str">
        <f ca="1">IFERROR(AN52/AVERAGE(AM$52:AM$58)-1,"")</f>
        <v/>
      </c>
      <c r="AS52" s="3">
        <v>1</v>
      </c>
      <c r="AT52" s="1" t="str">
        <f ca="1">IFERROR(AVERAGEIF(WT_Dark_All[Retina],AS52,OFFSET(WT_Dark_All[BkgrdFiringRate],0,AS$49)),"")</f>
        <v/>
      </c>
      <c r="AU52" s="1" t="str">
        <f ca="1">IFERROR(AVERAGEIF(DTA_Dark_All[Retina],AS52,OFFSET(DTA_Dark_All[BkgrdFiringRate],0,AS$49)),"")</f>
        <v/>
      </c>
      <c r="AV52" s="1" t="str">
        <f ca="1">IFERROR(AT52/AVERAGE(AT$52:AT$58),"")</f>
        <v/>
      </c>
      <c r="AW52" s="1" t="str">
        <f ca="1">IFERROR(AU52/AVERAGE(AT$52:AT$58)-1,"")</f>
        <v/>
      </c>
      <c r="AZ52" s="3">
        <v>1</v>
      </c>
      <c r="BA52" s="1" t="str">
        <f ca="1">IFERROR(AVERAGEIF(WT_Dark_All[Retina],AZ52,OFFSET(WT_Dark_All[BkgrdFiringRate],0,AZ$49)),"")</f>
        <v/>
      </c>
      <c r="BB52" s="1" t="str">
        <f ca="1">IFERROR(AVERAGEIF(DTA_Dark_All[Retina],AZ52,OFFSET(DTA_Dark_All[BkgrdFiringRate],0,AZ$49)),"")</f>
        <v/>
      </c>
      <c r="BC52" s="1" t="str">
        <f ca="1">IFERROR(BA52/AVERAGE(BA$52:BA$58),"")</f>
        <v/>
      </c>
      <c r="BD52" s="1" t="str">
        <f ca="1">IFERROR(BB52/AVERAGE(BA$52:BA$58)-1,"")</f>
        <v/>
      </c>
    </row>
    <row r="53" spans="1:56" x14ac:dyDescent="0.25">
      <c r="A53" s="105"/>
      <c r="Q53" s="3">
        <v>2</v>
      </c>
      <c r="R53" s="1" t="str">
        <f ca="1">IFERROR(AVERAGEIF(WT_Dark_All[Retina],Q53,OFFSET(WT_Dark_All[BkgrdFiringRate],0,Q$49)),"")</f>
        <v/>
      </c>
      <c r="S53" s="1" t="str">
        <f ca="1">IFERROR(AVERAGEIF(DTA_Dark_All[Retina],Q53,OFFSET(DTA_Dark_All[BkgrdFiringRate],0,Q$49)),"")</f>
        <v/>
      </c>
      <c r="T53" s="1" t="str">
        <f t="shared" ref="T53:T58" ca="1" si="15">IFERROR(R53/AVERAGE(R$52:R$58),"")</f>
        <v/>
      </c>
      <c r="U53" s="1" t="str">
        <f t="shared" ref="U53:U58" ca="1" si="16">IFERROR(S53/AVERAGE(R$52:R$58)-1,"")</f>
        <v/>
      </c>
      <c r="X53" s="3">
        <v>2</v>
      </c>
      <c r="Y53" s="1" t="str">
        <f ca="1">IFERROR(AVERAGEIF(WT_Dark_All[Retina],X53,OFFSET(WT_Dark_All[BkgrdFiringRate],0,X$49)),"")</f>
        <v/>
      </c>
      <c r="Z53" s="1" t="str">
        <f ca="1">IFERROR(AVERAGEIF(DTA_Dark_All[Retina],X53,OFFSET(DTA_Dark_All[BkgrdFiringRate],0,X$49)),"")</f>
        <v/>
      </c>
      <c r="AA53" s="1" t="str">
        <f t="shared" ref="AA53:AA58" ca="1" si="17">IFERROR(Y53/AVERAGE(Y$52:Y$58),"")</f>
        <v/>
      </c>
      <c r="AB53" s="1" t="str">
        <f t="shared" ref="AB53:AB58" ca="1" si="18">IFERROR(Z53/AVERAGE(Y$52:Y$58)-1,"")</f>
        <v/>
      </c>
      <c r="AE53" s="3">
        <v>2</v>
      </c>
      <c r="AF53" s="1" t="str">
        <f ca="1">IFERROR(AVERAGEIF(WT_Dark_All[Retina],AE53,OFFSET(WT_Dark_All[BkgrdFiringRate],0,AE$49)),"")</f>
        <v/>
      </c>
      <c r="AG53" s="1" t="str">
        <f ca="1">IFERROR(AVERAGEIF(DTA_Dark_All[Retina],AE53,OFFSET(DTA_Dark_All[BkgrdFiringRate],0,AE$49)),"")</f>
        <v/>
      </c>
      <c r="AH53" s="1" t="str">
        <f t="shared" ref="AH53:AH58" ca="1" si="19">IFERROR(AF53/AVERAGE(AF$52:AF$58),"")</f>
        <v/>
      </c>
      <c r="AI53" s="1" t="str">
        <f t="shared" ref="AI53:AI58" ca="1" si="20">IFERROR(AG53/AVERAGE(AF$52:AF$58)-1,"")</f>
        <v/>
      </c>
      <c r="AJ53" s="18"/>
      <c r="AL53" s="3">
        <v>2</v>
      </c>
      <c r="AM53" s="1" t="str">
        <f ca="1">IFERROR(AVERAGEIF(WT_Dark_All[Retina],AL53,OFFSET(WT_Dark_All[BkgrdFiringRate],0,AL$49)),"")</f>
        <v/>
      </c>
      <c r="AN53" s="1" t="str">
        <f ca="1">IFERROR(AVERAGEIF(DTA_Dark_All[Retina],AL53,OFFSET(DTA_Dark_All[BkgrdFiringRate],0,AL$49)),"")</f>
        <v/>
      </c>
      <c r="AO53" s="1" t="str">
        <f t="shared" ref="AO53:AO58" ca="1" si="21">IFERROR(AM53/AVERAGE(AM$52:AM$58),"")</f>
        <v/>
      </c>
      <c r="AP53" s="1" t="str">
        <f t="shared" ref="AP53:AP58" ca="1" si="22">IFERROR(AN53/AVERAGE(AM$52:AM$58)-1,"")</f>
        <v/>
      </c>
      <c r="AS53" s="3">
        <v>2</v>
      </c>
      <c r="AT53" s="1" t="str">
        <f ca="1">IFERROR(AVERAGEIF(WT_Dark_All[Retina],AS53,OFFSET(WT_Dark_All[BkgrdFiringRate],0,AS$49)),"")</f>
        <v/>
      </c>
      <c r="AU53" s="1" t="str">
        <f ca="1">IFERROR(AVERAGEIF(DTA_Dark_All[Retina],AS53,OFFSET(DTA_Dark_All[BkgrdFiringRate],0,AS$49)),"")</f>
        <v/>
      </c>
      <c r="AV53" s="1" t="str">
        <f t="shared" ref="AV53:AV58" ca="1" si="23">IFERROR(AT53/AVERAGE(AT$52:AT$58),"")</f>
        <v/>
      </c>
      <c r="AW53" s="1" t="str">
        <f t="shared" ref="AW53:AW58" ca="1" si="24">IFERROR(AU53/AVERAGE(AT$52:AT$58)-1,"")</f>
        <v/>
      </c>
      <c r="AZ53" s="3">
        <v>2</v>
      </c>
      <c r="BA53" s="1" t="str">
        <f ca="1">IFERROR(AVERAGEIF(WT_Dark_All[Retina],AZ53,OFFSET(WT_Dark_All[BkgrdFiringRate],0,AZ$49)),"")</f>
        <v/>
      </c>
      <c r="BB53" s="1" t="str">
        <f ca="1">IFERROR(AVERAGEIF(DTA_Dark_All[Retina],AZ53,OFFSET(DTA_Dark_All[BkgrdFiringRate],0,AZ$49)),"")</f>
        <v/>
      </c>
      <c r="BC53" s="1" t="str">
        <f t="shared" ref="BC53:BC58" ca="1" si="25">IFERROR(BA53/AVERAGE(BA$52:BA$58),"")</f>
        <v/>
      </c>
      <c r="BD53" s="1" t="str">
        <f t="shared" ref="BD53:BD58" ca="1" si="26">IFERROR(BB53/AVERAGE(BA$52:BA$58)-1,"")</f>
        <v/>
      </c>
    </row>
    <row r="54" spans="1:56" x14ac:dyDescent="0.25">
      <c r="A54" s="105"/>
      <c r="Q54" s="3">
        <v>3</v>
      </c>
      <c r="R54" s="1" t="str">
        <f ca="1">IFERROR(AVERAGEIF(WT_Dark_All[Retina],Q54,OFFSET(WT_Dark_All[BkgrdFiringRate],0,Q$49)),"")</f>
        <v/>
      </c>
      <c r="S54" s="1" t="str">
        <f ca="1">IFERROR(AVERAGEIF(DTA_Dark_All[Retina],Q54,OFFSET(DTA_Dark_All[BkgrdFiringRate],0,Q$49)),"")</f>
        <v/>
      </c>
      <c r="T54" s="1" t="str">
        <f t="shared" ca="1" si="15"/>
        <v/>
      </c>
      <c r="U54" s="1" t="str">
        <f t="shared" ca="1" si="16"/>
        <v/>
      </c>
      <c r="X54" s="3">
        <v>3</v>
      </c>
      <c r="Y54" s="1" t="str">
        <f ca="1">IFERROR(AVERAGEIF(WT_Dark_All[Retina],X54,OFFSET(WT_Dark_All[BkgrdFiringRate],0,X$49)),"")</f>
        <v/>
      </c>
      <c r="Z54" s="1" t="str">
        <f ca="1">IFERROR(AVERAGEIF(DTA_Dark_All[Retina],X54,OFFSET(DTA_Dark_All[BkgrdFiringRate],0,X$49)),"")</f>
        <v/>
      </c>
      <c r="AA54" s="1" t="str">
        <f t="shared" ca="1" si="17"/>
        <v/>
      </c>
      <c r="AB54" s="1" t="str">
        <f t="shared" ca="1" si="18"/>
        <v/>
      </c>
      <c r="AE54" s="3">
        <v>3</v>
      </c>
      <c r="AF54" s="1" t="str">
        <f ca="1">IFERROR(AVERAGEIF(WT_Dark_All[Retina],AE54,OFFSET(WT_Dark_All[BkgrdFiringRate],0,AE$49)),"")</f>
        <v/>
      </c>
      <c r="AG54" s="1" t="str">
        <f ca="1">IFERROR(AVERAGEIF(DTA_Dark_All[Retina],AE54,OFFSET(DTA_Dark_All[BkgrdFiringRate],0,AE$49)),"")</f>
        <v/>
      </c>
      <c r="AH54" s="1" t="str">
        <f t="shared" ca="1" si="19"/>
        <v/>
      </c>
      <c r="AI54" s="1" t="str">
        <f t="shared" ca="1" si="20"/>
        <v/>
      </c>
      <c r="AJ54" s="18"/>
      <c r="AL54" s="3">
        <v>3</v>
      </c>
      <c r="AM54" s="1" t="str">
        <f ca="1">IFERROR(AVERAGEIF(WT_Dark_All[Retina],AL54,OFFSET(WT_Dark_All[BkgrdFiringRate],0,AL$49)),"")</f>
        <v/>
      </c>
      <c r="AN54" s="1" t="str">
        <f ca="1">IFERROR(AVERAGEIF(DTA_Dark_All[Retina],AL54,OFFSET(DTA_Dark_All[BkgrdFiringRate],0,AL$49)),"")</f>
        <v/>
      </c>
      <c r="AO54" s="1" t="str">
        <f t="shared" ca="1" si="21"/>
        <v/>
      </c>
      <c r="AP54" s="1" t="str">
        <f t="shared" ca="1" si="22"/>
        <v/>
      </c>
      <c r="AS54" s="3">
        <v>3</v>
      </c>
      <c r="AT54" s="1" t="str">
        <f ca="1">IFERROR(AVERAGEIF(WT_Dark_All[Retina],AS54,OFFSET(WT_Dark_All[BkgrdFiringRate],0,AS$49)),"")</f>
        <v/>
      </c>
      <c r="AU54" s="1" t="str">
        <f ca="1">IFERROR(AVERAGEIF(DTA_Dark_All[Retina],AS54,OFFSET(DTA_Dark_All[BkgrdFiringRate],0,AS$49)),"")</f>
        <v/>
      </c>
      <c r="AV54" s="1" t="str">
        <f t="shared" ca="1" si="23"/>
        <v/>
      </c>
      <c r="AW54" s="1" t="str">
        <f t="shared" ca="1" si="24"/>
        <v/>
      </c>
      <c r="AZ54" s="3">
        <v>3</v>
      </c>
      <c r="BA54" s="1" t="str">
        <f ca="1">IFERROR(AVERAGEIF(WT_Dark_All[Retina],AZ54,OFFSET(WT_Dark_All[BkgrdFiringRate],0,AZ$49)),"")</f>
        <v/>
      </c>
      <c r="BB54" s="1" t="str">
        <f ca="1">IFERROR(AVERAGEIF(DTA_Dark_All[Retina],AZ54,OFFSET(DTA_Dark_All[BkgrdFiringRate],0,AZ$49)),"")</f>
        <v/>
      </c>
      <c r="BC54" s="1" t="str">
        <f t="shared" ca="1" si="25"/>
        <v/>
      </c>
      <c r="BD54" s="1" t="str">
        <f t="shared" ca="1" si="26"/>
        <v/>
      </c>
    </row>
    <row r="55" spans="1:56" x14ac:dyDescent="0.25">
      <c r="A55" s="105"/>
      <c r="Q55" s="3">
        <v>4</v>
      </c>
      <c r="R55" s="1" t="str">
        <f ca="1">IFERROR(AVERAGEIF(WT_Dark_All[Retina],Q55,OFFSET(WT_Dark_All[BkgrdFiringRate],0,Q$49)),"")</f>
        <v/>
      </c>
      <c r="S55" s="1" t="str">
        <f ca="1">IFERROR(AVERAGEIF(DTA_Dark_All[Retina],Q55,OFFSET(DTA_Dark_All[BkgrdFiringRate],0,Q$49)),"")</f>
        <v/>
      </c>
      <c r="T55" s="1" t="str">
        <f t="shared" ca="1" si="15"/>
        <v/>
      </c>
      <c r="U55" s="1" t="str">
        <f t="shared" ca="1" si="16"/>
        <v/>
      </c>
      <c r="X55" s="3">
        <v>4</v>
      </c>
      <c r="Y55" s="1" t="str">
        <f ca="1">IFERROR(AVERAGEIF(WT_Dark_All[Retina],X55,OFFSET(WT_Dark_All[BkgrdFiringRate],0,X$49)),"")</f>
        <v/>
      </c>
      <c r="Z55" s="1" t="str">
        <f ca="1">IFERROR(AVERAGEIF(DTA_Dark_All[Retina],X55,OFFSET(DTA_Dark_All[BkgrdFiringRate],0,X$49)),"")</f>
        <v/>
      </c>
      <c r="AA55" s="1" t="str">
        <f t="shared" ca="1" si="17"/>
        <v/>
      </c>
      <c r="AB55" s="1" t="str">
        <f t="shared" ca="1" si="18"/>
        <v/>
      </c>
      <c r="AE55" s="3">
        <v>4</v>
      </c>
      <c r="AF55" s="1" t="str">
        <f ca="1">IFERROR(AVERAGEIF(WT_Dark_All[Retina],AE55,OFFSET(WT_Dark_All[BkgrdFiringRate],0,AE$49)),"")</f>
        <v/>
      </c>
      <c r="AG55" s="1" t="str">
        <f ca="1">IFERROR(AVERAGEIF(DTA_Dark_All[Retina],AE55,OFFSET(DTA_Dark_All[BkgrdFiringRate],0,AE$49)),"")</f>
        <v/>
      </c>
      <c r="AH55" s="1" t="str">
        <f t="shared" ca="1" si="19"/>
        <v/>
      </c>
      <c r="AI55" s="1" t="str">
        <f t="shared" ca="1" si="20"/>
        <v/>
      </c>
      <c r="AJ55" s="18"/>
      <c r="AL55" s="3">
        <v>4</v>
      </c>
      <c r="AM55" s="1" t="str">
        <f ca="1">IFERROR(AVERAGEIF(WT_Dark_All[Retina],AL55,OFFSET(WT_Dark_All[BkgrdFiringRate],0,AL$49)),"")</f>
        <v/>
      </c>
      <c r="AN55" s="1" t="str">
        <f ca="1">IFERROR(AVERAGEIF(DTA_Dark_All[Retina],AL55,OFFSET(DTA_Dark_All[BkgrdFiringRate],0,AL$49)),"")</f>
        <v/>
      </c>
      <c r="AO55" s="1" t="str">
        <f t="shared" ca="1" si="21"/>
        <v/>
      </c>
      <c r="AP55" s="1" t="str">
        <f t="shared" ca="1" si="22"/>
        <v/>
      </c>
      <c r="AS55" s="3">
        <v>4</v>
      </c>
      <c r="AT55" s="1" t="str">
        <f ca="1">IFERROR(AVERAGEIF(WT_Dark_All[Retina],AS55,OFFSET(WT_Dark_All[BkgrdFiringRate],0,AS$49)),"")</f>
        <v/>
      </c>
      <c r="AU55" s="1" t="str">
        <f ca="1">IFERROR(AVERAGEIF(DTA_Dark_All[Retina],AS55,OFFSET(DTA_Dark_All[BkgrdFiringRate],0,AS$49)),"")</f>
        <v/>
      </c>
      <c r="AV55" s="1" t="str">
        <f t="shared" ca="1" si="23"/>
        <v/>
      </c>
      <c r="AW55" s="1" t="str">
        <f t="shared" ca="1" si="24"/>
        <v/>
      </c>
      <c r="AZ55" s="3">
        <v>4</v>
      </c>
      <c r="BA55" s="1" t="str">
        <f ca="1">IFERROR(AVERAGEIF(WT_Dark_All[Retina],AZ55,OFFSET(WT_Dark_All[BkgrdFiringRate],0,AZ$49)),"")</f>
        <v/>
      </c>
      <c r="BB55" s="1" t="str">
        <f ca="1">IFERROR(AVERAGEIF(DTA_Dark_All[Retina],AZ55,OFFSET(DTA_Dark_All[BkgrdFiringRate],0,AZ$49)),"")</f>
        <v/>
      </c>
      <c r="BC55" s="1" t="str">
        <f t="shared" ca="1" si="25"/>
        <v/>
      </c>
      <c r="BD55" s="1" t="str">
        <f t="shared" ca="1" si="26"/>
        <v/>
      </c>
    </row>
    <row r="56" spans="1:56" x14ac:dyDescent="0.25">
      <c r="A56" s="105"/>
      <c r="Q56" s="3">
        <v>5</v>
      </c>
      <c r="R56" s="1" t="str">
        <f ca="1">IFERROR(AVERAGEIF(WT_Dark_All[Retina],Q56,OFFSET(WT_Dark_All[BkgrdFiringRate],0,Q$49)),"")</f>
        <v/>
      </c>
      <c r="S56" s="1" t="str">
        <f ca="1">IFERROR(AVERAGEIF(DTA_Dark_All[Retina],Q56,OFFSET(DTA_Dark_All[BkgrdFiringRate],0,Q$49)),"")</f>
        <v/>
      </c>
      <c r="T56" s="1" t="str">
        <f t="shared" ca="1" si="15"/>
        <v/>
      </c>
      <c r="U56" s="1" t="str">
        <f t="shared" ca="1" si="16"/>
        <v/>
      </c>
      <c r="X56" s="3">
        <v>5</v>
      </c>
      <c r="Y56" s="1" t="str">
        <f ca="1">IFERROR(AVERAGEIF(WT_Dark_All[Retina],X56,OFFSET(WT_Dark_All[BkgrdFiringRate],0,X$49)),"")</f>
        <v/>
      </c>
      <c r="Z56" s="1" t="str">
        <f ca="1">IFERROR(AVERAGEIF(DTA_Dark_All[Retina],X56,OFFSET(DTA_Dark_All[BkgrdFiringRate],0,X$49)),"")</f>
        <v/>
      </c>
      <c r="AA56" s="1" t="str">
        <f t="shared" ca="1" si="17"/>
        <v/>
      </c>
      <c r="AB56" s="1" t="str">
        <f t="shared" ca="1" si="18"/>
        <v/>
      </c>
      <c r="AE56" s="3">
        <v>5</v>
      </c>
      <c r="AF56" s="1" t="str">
        <f ca="1">IFERROR(AVERAGEIF(WT_Dark_All[Retina],AE56,OFFSET(WT_Dark_All[BkgrdFiringRate],0,AE$49)),"")</f>
        <v/>
      </c>
      <c r="AG56" s="1" t="str">
        <f ca="1">IFERROR(AVERAGEIF(DTA_Dark_All[Retina],AE56,OFFSET(DTA_Dark_All[BkgrdFiringRate],0,AE$49)),"")</f>
        <v/>
      </c>
      <c r="AH56" s="1" t="str">
        <f t="shared" ca="1" si="19"/>
        <v/>
      </c>
      <c r="AI56" s="1" t="str">
        <f t="shared" ca="1" si="20"/>
        <v/>
      </c>
      <c r="AJ56" s="18"/>
      <c r="AL56" s="3">
        <v>5</v>
      </c>
      <c r="AM56" s="1" t="str">
        <f ca="1">IFERROR(AVERAGEIF(WT_Dark_All[Retina],AL56,OFFSET(WT_Dark_All[BkgrdFiringRate],0,AL$49)),"")</f>
        <v/>
      </c>
      <c r="AN56" s="1" t="str">
        <f ca="1">IFERROR(AVERAGEIF(DTA_Dark_All[Retina],AL56,OFFSET(DTA_Dark_All[BkgrdFiringRate],0,AL$49)),"")</f>
        <v/>
      </c>
      <c r="AO56" s="1" t="str">
        <f t="shared" ca="1" si="21"/>
        <v/>
      </c>
      <c r="AP56" s="1" t="str">
        <f t="shared" ca="1" si="22"/>
        <v/>
      </c>
      <c r="AS56" s="3">
        <v>5</v>
      </c>
      <c r="AT56" s="1" t="str">
        <f ca="1">IFERROR(AVERAGEIF(WT_Dark_All[Retina],AS56,OFFSET(WT_Dark_All[BkgrdFiringRate],0,AS$49)),"")</f>
        <v/>
      </c>
      <c r="AU56" s="1" t="str">
        <f ca="1">IFERROR(AVERAGEIF(DTA_Dark_All[Retina],AS56,OFFSET(DTA_Dark_All[BkgrdFiringRate],0,AS$49)),"")</f>
        <v/>
      </c>
      <c r="AV56" s="1" t="str">
        <f t="shared" ca="1" si="23"/>
        <v/>
      </c>
      <c r="AW56" s="1" t="str">
        <f t="shared" ca="1" si="24"/>
        <v/>
      </c>
      <c r="AZ56" s="3">
        <v>5</v>
      </c>
      <c r="BA56" s="1" t="str">
        <f ca="1">IFERROR(AVERAGEIF(WT_Dark_All[Retina],AZ56,OFFSET(WT_Dark_All[BkgrdFiringRate],0,AZ$49)),"")</f>
        <v/>
      </c>
      <c r="BB56" s="1" t="str">
        <f ca="1">IFERROR(AVERAGEIF(DTA_Dark_All[Retina],AZ56,OFFSET(DTA_Dark_All[BkgrdFiringRate],0,AZ$49)),"")</f>
        <v/>
      </c>
      <c r="BC56" s="1" t="str">
        <f t="shared" ca="1" si="25"/>
        <v/>
      </c>
      <c r="BD56" s="1" t="str">
        <f t="shared" ca="1" si="26"/>
        <v/>
      </c>
    </row>
    <row r="57" spans="1:56" x14ac:dyDescent="0.25">
      <c r="A57" s="105"/>
      <c r="Q57" s="3">
        <v>6</v>
      </c>
      <c r="R57" s="1" t="str">
        <f ca="1">IFERROR(AVERAGEIF(WT_Dark_All[Retina],Q57,OFFSET(WT_Dark_All[BkgrdFiringRate],0,Q$49)),"")</f>
        <v/>
      </c>
      <c r="S57" s="1" t="str">
        <f ca="1">IFERROR(AVERAGEIF(DTA_Dark_All[Retina],Q57,OFFSET(DTA_Dark_All[BkgrdFiringRate],0,Q$49)),"")</f>
        <v/>
      </c>
      <c r="T57" s="1" t="str">
        <f t="shared" ca="1" si="15"/>
        <v/>
      </c>
      <c r="U57" s="1" t="str">
        <f t="shared" ca="1" si="16"/>
        <v/>
      </c>
      <c r="X57" s="3">
        <v>6</v>
      </c>
      <c r="Y57" s="1" t="str">
        <f ca="1">IFERROR(AVERAGEIF(WT_Dark_All[Retina],X57,OFFSET(WT_Dark_All[BkgrdFiringRate],0,X$49)),"")</f>
        <v/>
      </c>
      <c r="Z57" s="1" t="str">
        <f ca="1">IFERROR(AVERAGEIF(DTA_Dark_All[Retina],X57,OFFSET(DTA_Dark_All[BkgrdFiringRate],0,X$49)),"")</f>
        <v/>
      </c>
      <c r="AA57" s="1" t="str">
        <f t="shared" ca="1" si="17"/>
        <v/>
      </c>
      <c r="AB57" s="1" t="str">
        <f t="shared" ca="1" si="18"/>
        <v/>
      </c>
      <c r="AE57" s="3">
        <v>6</v>
      </c>
      <c r="AF57" s="1" t="str">
        <f ca="1">IFERROR(AVERAGEIF(WT_Dark_All[Retina],AE57,OFFSET(WT_Dark_All[BkgrdFiringRate],0,AE$49)),"")</f>
        <v/>
      </c>
      <c r="AG57" s="1" t="str">
        <f ca="1">IFERROR(AVERAGEIF(DTA_Dark_All[Retina],AE57,OFFSET(DTA_Dark_All[BkgrdFiringRate],0,AE$49)),"")</f>
        <v/>
      </c>
      <c r="AH57" s="1" t="str">
        <f t="shared" ca="1" si="19"/>
        <v/>
      </c>
      <c r="AI57" s="1" t="str">
        <f t="shared" ca="1" si="20"/>
        <v/>
      </c>
      <c r="AJ57" s="18"/>
      <c r="AL57" s="3">
        <v>6</v>
      </c>
      <c r="AM57" s="1" t="str">
        <f ca="1">IFERROR(AVERAGEIF(WT_Dark_All[Retina],AL57,OFFSET(WT_Dark_All[BkgrdFiringRate],0,AL$49)),"")</f>
        <v/>
      </c>
      <c r="AN57" s="1" t="str">
        <f ca="1">IFERROR(AVERAGEIF(DTA_Dark_All[Retina],AL57,OFFSET(DTA_Dark_All[BkgrdFiringRate],0,AL$49)),"")</f>
        <v/>
      </c>
      <c r="AO57" s="1" t="str">
        <f t="shared" ca="1" si="21"/>
        <v/>
      </c>
      <c r="AP57" s="1" t="str">
        <f t="shared" ca="1" si="22"/>
        <v/>
      </c>
      <c r="AS57" s="3">
        <v>6</v>
      </c>
      <c r="AT57" s="1" t="str">
        <f ca="1">IFERROR(AVERAGEIF(WT_Dark_All[Retina],AS57,OFFSET(WT_Dark_All[BkgrdFiringRate],0,AS$49)),"")</f>
        <v/>
      </c>
      <c r="AU57" s="1" t="str">
        <f ca="1">IFERROR(AVERAGEIF(DTA_Dark_All[Retina],AS57,OFFSET(DTA_Dark_All[BkgrdFiringRate],0,AS$49)),"")</f>
        <v/>
      </c>
      <c r="AV57" s="1" t="str">
        <f t="shared" ca="1" si="23"/>
        <v/>
      </c>
      <c r="AW57" s="1" t="str">
        <f t="shared" ca="1" si="24"/>
        <v/>
      </c>
      <c r="AZ57" s="3">
        <v>6</v>
      </c>
      <c r="BA57" s="1" t="str">
        <f ca="1">IFERROR(AVERAGEIF(WT_Dark_All[Retina],AZ57,OFFSET(WT_Dark_All[BkgrdFiringRate],0,AZ$49)),"")</f>
        <v/>
      </c>
      <c r="BB57" s="1" t="str">
        <f ca="1">IFERROR(AVERAGEIF(DTA_Dark_All[Retina],AZ57,OFFSET(DTA_Dark_All[BkgrdFiringRate],0,AZ$49)),"")</f>
        <v/>
      </c>
      <c r="BC57" s="1" t="str">
        <f t="shared" ca="1" si="25"/>
        <v/>
      </c>
      <c r="BD57" s="1" t="str">
        <f t="shared" ca="1" si="26"/>
        <v/>
      </c>
    </row>
    <row r="58" spans="1:56" x14ac:dyDescent="0.25">
      <c r="Q58" s="3">
        <v>7</v>
      </c>
      <c r="R58" s="1" t="str">
        <f ca="1">IFERROR(AVERAGEIF(WT_Dark_All[Retina],Q58,OFFSET(WT_Dark_All[BkgrdFiringRate],0,Q$49)),"")</f>
        <v/>
      </c>
      <c r="S58" s="1" t="str">
        <f ca="1">IFERROR(AVERAGEIF(DTA_Dark_All[Retina],Q58,OFFSET(DTA_Dark_All[BkgrdFiringRate],0,Q$49)),"")</f>
        <v/>
      </c>
      <c r="T58" s="1" t="str">
        <f t="shared" ca="1" si="15"/>
        <v/>
      </c>
      <c r="U58" s="1" t="str">
        <f t="shared" ca="1" si="16"/>
        <v/>
      </c>
      <c r="X58" s="3">
        <v>7</v>
      </c>
      <c r="Y58" s="1" t="str">
        <f ca="1">IFERROR(AVERAGEIF(WT_Dark_All[Retina],X58,OFFSET(WT_Dark_All[BkgrdFiringRate],0,X$49)),"")</f>
        <v/>
      </c>
      <c r="Z58" s="1" t="str">
        <f ca="1">IFERROR(AVERAGEIF(DTA_Dark_All[Retina],X58,OFFSET(DTA_Dark_All[BkgrdFiringRate],0,X$49)),"")</f>
        <v/>
      </c>
      <c r="AA58" s="1" t="str">
        <f t="shared" ca="1" si="17"/>
        <v/>
      </c>
      <c r="AB58" s="1" t="str">
        <f t="shared" ca="1" si="18"/>
        <v/>
      </c>
      <c r="AE58" s="3">
        <v>7</v>
      </c>
      <c r="AF58" s="1" t="str">
        <f ca="1">IFERROR(AVERAGEIF(WT_Dark_All[Retina],AE58,OFFSET(WT_Dark_All[BkgrdFiringRate],0,AE$49)),"")</f>
        <v/>
      </c>
      <c r="AG58" s="1" t="str">
        <f ca="1">IFERROR(AVERAGEIF(DTA_Dark_All[Retina],AE58,OFFSET(DTA_Dark_All[BkgrdFiringRate],0,AE$49)),"")</f>
        <v/>
      </c>
      <c r="AH58" s="1" t="str">
        <f t="shared" ca="1" si="19"/>
        <v/>
      </c>
      <c r="AI58" s="1" t="str">
        <f t="shared" ca="1" si="20"/>
        <v/>
      </c>
      <c r="AJ58" s="18"/>
      <c r="AL58" s="3">
        <v>7</v>
      </c>
      <c r="AM58" s="1" t="str">
        <f ca="1">IFERROR(AVERAGEIF(WT_Dark_All[Retina],AL58,OFFSET(WT_Dark_All[BkgrdFiringRate],0,AL$49)),"")</f>
        <v/>
      </c>
      <c r="AN58" s="1" t="str">
        <f ca="1">IFERROR(AVERAGEIF(DTA_Dark_All[Retina],AL58,OFFSET(DTA_Dark_All[BkgrdFiringRate],0,AL$49)),"")</f>
        <v/>
      </c>
      <c r="AO58" s="1" t="str">
        <f t="shared" ca="1" si="21"/>
        <v/>
      </c>
      <c r="AP58" s="1" t="str">
        <f t="shared" ca="1" si="22"/>
        <v/>
      </c>
      <c r="AS58" s="3">
        <v>7</v>
      </c>
      <c r="AT58" s="1" t="str">
        <f ca="1">IFERROR(AVERAGEIF(WT_Dark_All[Retina],AS58,OFFSET(WT_Dark_All[BkgrdFiringRate],0,AS$49)),"")</f>
        <v/>
      </c>
      <c r="AU58" s="1" t="str">
        <f ca="1">IFERROR(AVERAGEIF(DTA_Dark_All[Retina],AS58,OFFSET(DTA_Dark_All[BkgrdFiringRate],0,AS$49)),"")</f>
        <v/>
      </c>
      <c r="AV58" s="1" t="str">
        <f t="shared" ca="1" si="23"/>
        <v/>
      </c>
      <c r="AW58" s="1" t="str">
        <f t="shared" ca="1" si="24"/>
        <v/>
      </c>
      <c r="AZ58" s="3">
        <v>7</v>
      </c>
      <c r="BA58" s="1" t="str">
        <f ca="1">IFERROR(AVERAGEIF(WT_Dark_All[Retina],AZ58,OFFSET(WT_Dark_All[BkgrdFiringRate],0,AZ$49)),"")</f>
        <v/>
      </c>
      <c r="BB58" s="1" t="str">
        <f ca="1">IFERROR(AVERAGEIF(DTA_Dark_All[Retina],AZ58,OFFSET(DTA_Dark_All[BkgrdFiringRate],0,AZ$49)),"")</f>
        <v/>
      </c>
      <c r="BC58" s="1" t="str">
        <f t="shared" ca="1" si="25"/>
        <v/>
      </c>
      <c r="BD58" s="1" t="str">
        <f t="shared" ca="1" si="26"/>
        <v/>
      </c>
    </row>
    <row r="59" spans="1:56" x14ac:dyDescent="0.25">
      <c r="AG59" s="18"/>
      <c r="AH59" s="18"/>
      <c r="AI59" s="18"/>
      <c r="AJ59" s="18"/>
    </row>
    <row r="60" spans="1:56" s="102" customFormat="1" x14ac:dyDescent="0.25">
      <c r="Q60" s="10"/>
      <c r="R60" s="10"/>
      <c r="S60" s="10"/>
      <c r="T60" s="10"/>
      <c r="U60" s="10"/>
      <c r="V60" s="10"/>
      <c r="W60" s="10"/>
      <c r="X60" s="10"/>
      <c r="AG60" s="10"/>
      <c r="AH60" s="10"/>
      <c r="AI60" s="10"/>
      <c r="AJ60" s="10"/>
    </row>
    <row r="63" spans="1:56" ht="15" customHeight="1" x14ac:dyDescent="0.25">
      <c r="A63" s="106" t="s">
        <v>10</v>
      </c>
      <c r="AG63" s="18"/>
      <c r="AH63" s="18"/>
      <c r="AI63" s="18"/>
      <c r="AJ63" s="18"/>
    </row>
    <row r="64" spans="1:56" x14ac:dyDescent="0.25">
      <c r="A64" s="106"/>
    </row>
    <row r="65" spans="1:36" x14ac:dyDescent="0.25">
      <c r="A65" s="106"/>
    </row>
    <row r="66" spans="1:36" x14ac:dyDescent="0.25">
      <c r="A66" s="106"/>
    </row>
    <row r="67" spans="1:36" x14ac:dyDescent="0.25">
      <c r="A67" s="106"/>
    </row>
    <row r="68" spans="1:36" x14ac:dyDescent="0.25">
      <c r="A68" s="106"/>
    </row>
    <row r="69" spans="1:36" x14ac:dyDescent="0.25">
      <c r="A69" s="106"/>
    </row>
    <row r="70" spans="1:36" x14ac:dyDescent="0.25">
      <c r="A70" s="106"/>
    </row>
    <row r="71" spans="1:36" x14ac:dyDescent="0.25">
      <c r="A71" s="106"/>
    </row>
    <row r="72" spans="1:36" x14ac:dyDescent="0.25">
      <c r="A72" s="106"/>
    </row>
    <row r="73" spans="1:36" x14ac:dyDescent="0.25">
      <c r="A73" s="106"/>
    </row>
    <row r="74" spans="1:36" x14ac:dyDescent="0.25">
      <c r="A74" s="106"/>
    </row>
    <row r="75" spans="1:36" x14ac:dyDescent="0.25">
      <c r="A75" s="106"/>
    </row>
    <row r="76" spans="1:36" x14ac:dyDescent="0.25">
      <c r="A76" s="106"/>
    </row>
    <row r="77" spans="1:36" x14ac:dyDescent="0.25">
      <c r="A77" s="106"/>
    </row>
    <row r="78" spans="1:36" x14ac:dyDescent="0.25">
      <c r="A78" s="106"/>
    </row>
    <row r="79" spans="1:36" x14ac:dyDescent="0.25">
      <c r="A79" s="106"/>
      <c r="AG79" s="18"/>
      <c r="AH79" s="18"/>
      <c r="AI79" s="18"/>
      <c r="AJ79" s="18"/>
    </row>
    <row r="80" spans="1:36" x14ac:dyDescent="0.25">
      <c r="A80" s="106"/>
    </row>
    <row r="81" spans="1:49" x14ac:dyDescent="0.25">
      <c r="A81" s="106"/>
      <c r="Q81" s="1">
        <v>0</v>
      </c>
      <c r="X81" s="1">
        <v>1</v>
      </c>
      <c r="AE81" s="1">
        <v>2</v>
      </c>
      <c r="AL81" s="1">
        <v>3</v>
      </c>
      <c r="AS81" s="1">
        <v>4</v>
      </c>
    </row>
    <row r="82" spans="1:49" ht="15.75" thickBot="1" x14ac:dyDescent="0.3">
      <c r="A82" s="106"/>
      <c r="Q82" s="104" t="s">
        <v>64</v>
      </c>
      <c r="R82" s="104"/>
      <c r="S82" s="104"/>
      <c r="T82" s="104"/>
      <c r="U82" s="104"/>
      <c r="X82" s="104" t="s">
        <v>30</v>
      </c>
      <c r="Y82" s="104"/>
      <c r="Z82" s="104"/>
      <c r="AA82" s="104"/>
      <c r="AB82" s="104"/>
      <c r="AE82" s="104" t="s">
        <v>35</v>
      </c>
      <c r="AF82" s="104"/>
      <c r="AG82" s="104"/>
      <c r="AH82" s="104"/>
      <c r="AI82" s="104"/>
      <c r="AL82" s="104" t="s">
        <v>34</v>
      </c>
      <c r="AM82" s="104"/>
      <c r="AN82" s="104"/>
      <c r="AO82" s="104"/>
      <c r="AP82" s="104"/>
      <c r="AS82" s="104" t="s">
        <v>31</v>
      </c>
      <c r="AT82" s="104"/>
      <c r="AU82" s="104"/>
      <c r="AV82" s="104"/>
      <c r="AW82" s="104"/>
    </row>
    <row r="83" spans="1:49" x14ac:dyDescent="0.25">
      <c r="A83" s="106"/>
      <c r="Q83" s="3" t="s">
        <v>0</v>
      </c>
      <c r="R83" s="3" t="s">
        <v>6</v>
      </c>
      <c r="S83" s="3" t="s">
        <v>23</v>
      </c>
      <c r="T83" s="3" t="s">
        <v>33</v>
      </c>
      <c r="U83" s="3" t="s">
        <v>32</v>
      </c>
      <c r="X83" s="3" t="s">
        <v>0</v>
      </c>
      <c r="Y83" s="3" t="s">
        <v>6</v>
      </c>
      <c r="Z83" s="3" t="s">
        <v>23</v>
      </c>
      <c r="AA83" s="3" t="s">
        <v>33</v>
      </c>
      <c r="AB83" s="3" t="s">
        <v>32</v>
      </c>
      <c r="AE83" s="3" t="s">
        <v>0</v>
      </c>
      <c r="AF83" s="3" t="s">
        <v>6</v>
      </c>
      <c r="AG83" s="3" t="s">
        <v>23</v>
      </c>
      <c r="AH83" s="3" t="s">
        <v>33</v>
      </c>
      <c r="AI83" s="3" t="s">
        <v>32</v>
      </c>
      <c r="AL83" s="3" t="s">
        <v>0</v>
      </c>
      <c r="AM83" s="3" t="s">
        <v>6</v>
      </c>
      <c r="AN83" s="3" t="s">
        <v>23</v>
      </c>
      <c r="AO83" s="3" t="s">
        <v>33</v>
      </c>
      <c r="AP83" s="3" t="s">
        <v>32</v>
      </c>
      <c r="AS83" s="3" t="s">
        <v>0</v>
      </c>
      <c r="AT83" s="3" t="s">
        <v>6</v>
      </c>
      <c r="AU83" s="3" t="s">
        <v>23</v>
      </c>
      <c r="AV83" s="3" t="s">
        <v>33</v>
      </c>
      <c r="AW83" s="3" t="s">
        <v>32</v>
      </c>
    </row>
    <row r="84" spans="1:49" x14ac:dyDescent="0.25">
      <c r="A84" s="106"/>
      <c r="Q84" s="3">
        <v>1</v>
      </c>
      <c r="R84" s="1" t="str">
        <f ca="1">IFERROR(AVERAGEIF(WT_Dark_WABs[Retina],Q84,OFFSET(WT_Dark_WABs[BurstDuration],0,Q$81)),"")</f>
        <v/>
      </c>
      <c r="S84" s="1" t="str">
        <f ca="1">IFERROR(AVERAGEIF(DTA_Dark_WABs[Retina],Q84,OFFSET(DTA_Dark_WABs[BurstDuration],0,Q$81)),"")</f>
        <v/>
      </c>
      <c r="T84" s="1" t="str">
        <f ca="1">IFERROR(R84/AVERAGE(R$84:R$90),"")</f>
        <v/>
      </c>
      <c r="U84" s="1" t="str">
        <f ca="1">IFERROR(S84/AVERAGE(R$84:R$90)-1,"")</f>
        <v/>
      </c>
      <c r="X84" s="3">
        <v>1</v>
      </c>
      <c r="Y84" s="1" t="str">
        <f ca="1">IFERROR(AVERAGEIF(WT_Dark_WABs[Retina],X84,OFFSET(WT_Dark_WABs[BurstDuration],0,X$81)),"")</f>
        <v/>
      </c>
      <c r="Z84" s="1" t="str">
        <f ca="1">IFERROR(AVERAGEIF(DTA_Dark_WABs[Retina],X84,OFFSET(DTA_Dark_WABs[BurstDuration],0,X$81)),"")</f>
        <v/>
      </c>
      <c r="AA84" s="1" t="str">
        <f ca="1">IFERROR(Y84/AVERAGE(Y$84:Y$90),"")</f>
        <v/>
      </c>
      <c r="AB84" s="1" t="str">
        <f ca="1">IFERROR(Z84/AVERAGE(Y$84:Y$90)-1,"")</f>
        <v/>
      </c>
      <c r="AE84" s="3">
        <v>1</v>
      </c>
      <c r="AF84" s="1" t="str">
        <f ca="1">IFERROR(AVERAGEIF(WT_Dark_WABs[Retina],AE84,OFFSET(WT_Dark_WABs[BurstDuration],0,AE$81)),"")</f>
        <v/>
      </c>
      <c r="AG84" s="1" t="str">
        <f ca="1">IFERROR(AVERAGEIF(DTA_Dark_WABs[Retina],AE84,OFFSET(DTA_Dark_WABs[BurstDuration],0,AE$81)),"")</f>
        <v/>
      </c>
      <c r="AH84" s="1" t="str">
        <f ca="1">IFERROR(AF84/AVERAGE(AF$84:AF$90),"")</f>
        <v/>
      </c>
      <c r="AI84" s="1" t="str">
        <f ca="1">IFERROR(AG84/AVERAGE(AF$84:AF$90)-1,"")</f>
        <v/>
      </c>
      <c r="AL84" s="3">
        <v>1</v>
      </c>
      <c r="AM84" s="1" t="str">
        <f ca="1">IFERROR(AVERAGEIF(WT_Dark_WABs[Retina],AL84,OFFSET(WT_Dark_WABs[BurstDuration],0,AL$81)),"")</f>
        <v/>
      </c>
      <c r="AN84" s="1" t="str">
        <f ca="1">IFERROR(AVERAGEIF(DTA_Dark_WABs[Retina],AL84,OFFSET(DTA_Dark_WABs[BurstDuration],0,AL$81)),"")</f>
        <v/>
      </c>
      <c r="AO84" s="1" t="str">
        <f ca="1">IFERROR(AM84/AVERAGE(AM$84:AM$90),"")</f>
        <v/>
      </c>
      <c r="AP84" s="1" t="str">
        <f ca="1">IFERROR(AN84/AVERAGE(AM$84:AM$90)-1,"")</f>
        <v/>
      </c>
      <c r="AS84" s="3">
        <v>1</v>
      </c>
      <c r="AT84" s="1" t="str">
        <f ca="1">IFERROR(AVERAGEIF(WT_Dark_WABs[Retina],AS84,OFFSET(WT_Dark_WABs[BurstDuration],0,AS$81)),"")</f>
        <v/>
      </c>
      <c r="AU84" s="1" t="str">
        <f ca="1">IFERROR(AVERAGEIF(DTA_Dark_WABs[Retina],AS84,OFFSET(DTA_Dark_WABs[BurstDuration],0,AS$81)),"")</f>
        <v/>
      </c>
      <c r="AV84" s="1" t="str">
        <f ca="1">IFERROR(AT84/AVERAGE(AT$84:AT$90),"")</f>
        <v/>
      </c>
      <c r="AW84" s="1" t="str">
        <f ca="1">IFERROR(AU84/AVERAGE(AT$84:AT$90)-1,"")</f>
        <v/>
      </c>
    </row>
    <row r="85" spans="1:49" x14ac:dyDescent="0.25">
      <c r="A85" s="106"/>
      <c r="Q85" s="3">
        <v>2</v>
      </c>
      <c r="R85" s="1" t="str">
        <f ca="1">IFERROR(AVERAGEIF(WT_Dark_WABs[Retina],Q85,OFFSET(WT_Dark_WABs[BurstDuration],0,Q$81)),"")</f>
        <v/>
      </c>
      <c r="S85" s="1" t="str">
        <f ca="1">IFERROR(AVERAGEIF(DTA_Dark_WABs[Retina],Q85,OFFSET(DTA_Dark_WABs[BurstDuration],0,Q$81)),"")</f>
        <v/>
      </c>
      <c r="T85" s="1" t="str">
        <f t="shared" ref="T85:T90" ca="1" si="27">IFERROR(R85/AVERAGE(R$84:R$90),"")</f>
        <v/>
      </c>
      <c r="U85" s="1" t="str">
        <f t="shared" ref="U85:U90" ca="1" si="28">IFERROR(S85/AVERAGE(R$84:R$90)-1,"")</f>
        <v/>
      </c>
      <c r="X85" s="3">
        <v>2</v>
      </c>
      <c r="Y85" s="1" t="str">
        <f ca="1">IFERROR(AVERAGEIF(WT_Dark_WABs[Retina],X85,OFFSET(WT_Dark_WABs[BurstDuration],0,X$81)),"")</f>
        <v/>
      </c>
      <c r="Z85" s="1" t="str">
        <f ca="1">IFERROR(AVERAGEIF(DTA_Dark_WABs[Retina],X85,OFFSET(DTA_Dark_WABs[BurstDuration],0,X$81)),"")</f>
        <v/>
      </c>
      <c r="AA85" s="1" t="str">
        <f t="shared" ref="AA85:AA90" ca="1" si="29">IFERROR(Y85/AVERAGE(Y$84:Y$90),"")</f>
        <v/>
      </c>
      <c r="AB85" s="1" t="str">
        <f t="shared" ref="AB85:AB90" ca="1" si="30">IFERROR(Z85/AVERAGE(Y$84:Y$90)-1,"")</f>
        <v/>
      </c>
      <c r="AE85" s="3">
        <v>2</v>
      </c>
      <c r="AF85" s="1" t="str">
        <f ca="1">IFERROR(AVERAGEIF(WT_Dark_WABs[Retina],AE85,OFFSET(WT_Dark_WABs[BurstDuration],0,AE$81)),"")</f>
        <v/>
      </c>
      <c r="AG85" s="1" t="str">
        <f ca="1">IFERROR(AVERAGEIF(DTA_Dark_WABs[Retina],AE85,OFFSET(DTA_Dark_WABs[BurstDuration],0,AE$81)),"")</f>
        <v/>
      </c>
      <c r="AH85" s="1" t="str">
        <f t="shared" ref="AH85:AH90" ca="1" si="31">IFERROR(AF85/AVERAGE(AF$84:AF$90),"")</f>
        <v/>
      </c>
      <c r="AI85" s="1" t="str">
        <f t="shared" ref="AI85:AI90" ca="1" si="32">IFERROR(AG85/AVERAGE(AF$84:AF$90)-1,"")</f>
        <v/>
      </c>
      <c r="AL85" s="3">
        <v>2</v>
      </c>
      <c r="AM85" s="1" t="str">
        <f ca="1">IFERROR(AVERAGEIF(WT_Dark_WABs[Retina],AL85,OFFSET(WT_Dark_WABs[BurstDuration],0,AL$81)),"")</f>
        <v/>
      </c>
      <c r="AN85" s="1" t="str">
        <f ca="1">IFERROR(AVERAGEIF(DTA_Dark_WABs[Retina],AL85,OFFSET(DTA_Dark_WABs[BurstDuration],0,AL$81)),"")</f>
        <v/>
      </c>
      <c r="AO85" s="1" t="str">
        <f t="shared" ref="AO85:AO90" ca="1" si="33">IFERROR(AM85/AVERAGE(AM$84:AM$90),"")</f>
        <v/>
      </c>
      <c r="AP85" s="1" t="str">
        <f t="shared" ref="AP85:AP90" ca="1" si="34">IFERROR(AN85/AVERAGE(AM$84:AM$90)-1,"")</f>
        <v/>
      </c>
      <c r="AS85" s="3">
        <v>2</v>
      </c>
      <c r="AT85" s="1" t="str">
        <f ca="1">IFERROR(AVERAGEIF(WT_Dark_WABs[Retina],AS85,OFFSET(WT_Dark_WABs[BurstDuration],0,AS$81)),"")</f>
        <v/>
      </c>
      <c r="AU85" s="1" t="str">
        <f ca="1">IFERROR(AVERAGEIF(DTA_Dark_WABs[Retina],AS85,OFFSET(DTA_Dark_WABs[BurstDuration],0,AS$81)),"")</f>
        <v/>
      </c>
      <c r="AV85" s="1" t="str">
        <f t="shared" ref="AV85:AV90" ca="1" si="35">IFERROR(AT85/AVERAGE(AT$84:AT$90),"")</f>
        <v/>
      </c>
      <c r="AW85" s="1" t="str">
        <f t="shared" ref="AW85:AW90" ca="1" si="36">IFERROR(AU85/AVERAGE(AT$84:AT$90)-1,"")</f>
        <v/>
      </c>
    </row>
    <row r="86" spans="1:49" x14ac:dyDescent="0.25">
      <c r="A86" s="106"/>
      <c r="Q86" s="3">
        <v>3</v>
      </c>
      <c r="R86" s="1" t="str">
        <f ca="1">IFERROR(AVERAGEIF(WT_Dark_WABs[Retina],Q86,OFFSET(WT_Dark_WABs[BurstDuration],0,Q$81)),"")</f>
        <v/>
      </c>
      <c r="S86" s="1" t="str">
        <f ca="1">IFERROR(AVERAGEIF(DTA_Dark_WABs[Retina],Q86,OFFSET(DTA_Dark_WABs[BurstDuration],0,Q$81)),"")</f>
        <v/>
      </c>
      <c r="T86" s="1" t="str">
        <f t="shared" ca="1" si="27"/>
        <v/>
      </c>
      <c r="U86" s="1" t="str">
        <f t="shared" ca="1" si="28"/>
        <v/>
      </c>
      <c r="X86" s="3">
        <v>3</v>
      </c>
      <c r="Y86" s="1" t="str">
        <f ca="1">IFERROR(AVERAGEIF(WT_Dark_WABs[Retina],X86,OFFSET(WT_Dark_WABs[BurstDuration],0,X$81)),"")</f>
        <v/>
      </c>
      <c r="Z86" s="1" t="str">
        <f ca="1">IFERROR(AVERAGEIF(DTA_Dark_WABs[Retina],X86,OFFSET(DTA_Dark_WABs[BurstDuration],0,X$81)),"")</f>
        <v/>
      </c>
      <c r="AA86" s="1" t="str">
        <f t="shared" ca="1" si="29"/>
        <v/>
      </c>
      <c r="AB86" s="1" t="str">
        <f t="shared" ca="1" si="30"/>
        <v/>
      </c>
      <c r="AE86" s="3">
        <v>3</v>
      </c>
      <c r="AF86" s="1" t="str">
        <f ca="1">IFERROR(AVERAGEIF(WT_Dark_WABs[Retina],AE86,OFFSET(WT_Dark_WABs[BurstDuration],0,AE$81)),"")</f>
        <v/>
      </c>
      <c r="AG86" s="1" t="str">
        <f ca="1">IFERROR(AVERAGEIF(DTA_Dark_WABs[Retina],AE86,OFFSET(DTA_Dark_WABs[BurstDuration],0,AE$81)),"")</f>
        <v/>
      </c>
      <c r="AH86" s="1" t="str">
        <f t="shared" ca="1" si="31"/>
        <v/>
      </c>
      <c r="AI86" s="1" t="str">
        <f t="shared" ca="1" si="32"/>
        <v/>
      </c>
      <c r="AJ86" s="18"/>
      <c r="AL86" s="3">
        <v>3</v>
      </c>
      <c r="AM86" s="1" t="str">
        <f ca="1">IFERROR(AVERAGEIF(WT_Dark_WABs[Retina],AL86,OFFSET(WT_Dark_WABs[BurstDuration],0,AL$81)),"")</f>
        <v/>
      </c>
      <c r="AN86" s="1" t="str">
        <f ca="1">IFERROR(AVERAGEIF(DTA_Dark_WABs[Retina],AL86,OFFSET(DTA_Dark_WABs[BurstDuration],0,AL$81)),"")</f>
        <v/>
      </c>
      <c r="AO86" s="1" t="str">
        <f t="shared" ca="1" si="33"/>
        <v/>
      </c>
      <c r="AP86" s="1" t="str">
        <f t="shared" ca="1" si="34"/>
        <v/>
      </c>
      <c r="AS86" s="3">
        <v>3</v>
      </c>
      <c r="AT86" s="1" t="str">
        <f ca="1">IFERROR(AVERAGEIF(WT_Dark_WABs[Retina],AS86,OFFSET(WT_Dark_WABs[BurstDuration],0,AS$81)),"")</f>
        <v/>
      </c>
      <c r="AU86" s="1" t="str">
        <f ca="1">IFERROR(AVERAGEIF(DTA_Dark_WABs[Retina],AS86,OFFSET(DTA_Dark_WABs[BurstDuration],0,AS$81)),"")</f>
        <v/>
      </c>
      <c r="AV86" s="1" t="str">
        <f t="shared" ca="1" si="35"/>
        <v/>
      </c>
      <c r="AW86" s="1" t="str">
        <f t="shared" ca="1" si="36"/>
        <v/>
      </c>
    </row>
    <row r="87" spans="1:49" x14ac:dyDescent="0.25">
      <c r="A87" s="106"/>
      <c r="Q87" s="3">
        <v>4</v>
      </c>
      <c r="R87" s="1" t="str">
        <f ca="1">IFERROR(AVERAGEIF(WT_Dark_WABs[Retina],Q87,OFFSET(WT_Dark_WABs[BurstDuration],0,Q$81)),"")</f>
        <v/>
      </c>
      <c r="S87" s="1" t="str">
        <f ca="1">IFERROR(AVERAGEIF(DTA_Dark_WABs[Retina],Q87,OFFSET(DTA_Dark_WABs[BurstDuration],0,Q$81)),"")</f>
        <v/>
      </c>
      <c r="T87" s="1" t="str">
        <f t="shared" ca="1" si="27"/>
        <v/>
      </c>
      <c r="U87" s="1" t="str">
        <f t="shared" ca="1" si="28"/>
        <v/>
      </c>
      <c r="X87" s="3">
        <v>4</v>
      </c>
      <c r="Y87" s="1" t="str">
        <f ca="1">IFERROR(AVERAGEIF(WT_Dark_WABs[Retina],X87,OFFSET(WT_Dark_WABs[BurstDuration],0,X$81)),"")</f>
        <v/>
      </c>
      <c r="Z87" s="1" t="str">
        <f ca="1">IFERROR(AVERAGEIF(DTA_Dark_WABs[Retina],X87,OFFSET(DTA_Dark_WABs[BurstDuration],0,X$81)),"")</f>
        <v/>
      </c>
      <c r="AA87" s="1" t="str">
        <f t="shared" ca="1" si="29"/>
        <v/>
      </c>
      <c r="AB87" s="1" t="str">
        <f t="shared" ca="1" si="30"/>
        <v/>
      </c>
      <c r="AE87" s="3">
        <v>4</v>
      </c>
      <c r="AF87" s="1" t="str">
        <f ca="1">IFERROR(AVERAGEIF(WT_Dark_WABs[Retina],AE87,OFFSET(WT_Dark_WABs[BurstDuration],0,AE$81)),"")</f>
        <v/>
      </c>
      <c r="AG87" s="1" t="str">
        <f ca="1">IFERROR(AVERAGEIF(DTA_Dark_WABs[Retina],AE87,OFFSET(DTA_Dark_WABs[BurstDuration],0,AE$81)),"")</f>
        <v/>
      </c>
      <c r="AH87" s="1" t="str">
        <f t="shared" ca="1" si="31"/>
        <v/>
      </c>
      <c r="AI87" s="1" t="str">
        <f t="shared" ca="1" si="32"/>
        <v/>
      </c>
      <c r="AL87" s="3">
        <v>4</v>
      </c>
      <c r="AM87" s="1" t="str">
        <f ca="1">IFERROR(AVERAGEIF(WT_Dark_WABs[Retina],AL87,OFFSET(WT_Dark_WABs[BurstDuration],0,AL$81)),"")</f>
        <v/>
      </c>
      <c r="AN87" s="1" t="str">
        <f ca="1">IFERROR(AVERAGEIF(DTA_Dark_WABs[Retina],AL87,OFFSET(DTA_Dark_WABs[BurstDuration],0,AL$81)),"")</f>
        <v/>
      </c>
      <c r="AO87" s="1" t="str">
        <f t="shared" ca="1" si="33"/>
        <v/>
      </c>
      <c r="AP87" s="1" t="str">
        <f t="shared" ca="1" si="34"/>
        <v/>
      </c>
      <c r="AS87" s="3">
        <v>4</v>
      </c>
      <c r="AT87" s="1" t="str">
        <f ca="1">IFERROR(AVERAGEIF(WT_Dark_WABs[Retina],AS87,OFFSET(WT_Dark_WABs[BurstDuration],0,AS$81)),"")</f>
        <v/>
      </c>
      <c r="AU87" s="1" t="str">
        <f ca="1">IFERROR(AVERAGEIF(DTA_Dark_WABs[Retina],AS87,OFFSET(DTA_Dark_WABs[BurstDuration],0,AS$81)),"")</f>
        <v/>
      </c>
      <c r="AV87" s="1" t="str">
        <f t="shared" ca="1" si="35"/>
        <v/>
      </c>
      <c r="AW87" s="1" t="str">
        <f t="shared" ca="1" si="36"/>
        <v/>
      </c>
    </row>
    <row r="88" spans="1:49" x14ac:dyDescent="0.25">
      <c r="A88" s="106"/>
      <c r="Q88" s="3">
        <v>5</v>
      </c>
      <c r="R88" s="1" t="str">
        <f ca="1">IFERROR(AVERAGEIF(WT_Dark_WABs[Retina],Q88,OFFSET(WT_Dark_WABs[BurstDuration],0,Q$81)),"")</f>
        <v/>
      </c>
      <c r="S88" s="1" t="str">
        <f ca="1">IFERROR(AVERAGEIF(DTA_Dark_WABs[Retina],Q88,OFFSET(DTA_Dark_WABs[BurstDuration],0,Q$81)),"")</f>
        <v/>
      </c>
      <c r="T88" s="1" t="str">
        <f t="shared" ca="1" si="27"/>
        <v/>
      </c>
      <c r="U88" s="1" t="str">
        <f t="shared" ca="1" si="28"/>
        <v/>
      </c>
      <c r="X88" s="3">
        <v>5</v>
      </c>
      <c r="Y88" s="1" t="str">
        <f ca="1">IFERROR(AVERAGEIF(WT_Dark_WABs[Retina],X88,OFFSET(WT_Dark_WABs[BurstDuration],0,X$81)),"")</f>
        <v/>
      </c>
      <c r="Z88" s="1" t="str">
        <f ca="1">IFERROR(AVERAGEIF(DTA_Dark_WABs[Retina],X88,OFFSET(DTA_Dark_WABs[BurstDuration],0,X$81)),"")</f>
        <v/>
      </c>
      <c r="AA88" s="1" t="str">
        <f t="shared" ca="1" si="29"/>
        <v/>
      </c>
      <c r="AB88" s="1" t="str">
        <f t="shared" ca="1" si="30"/>
        <v/>
      </c>
      <c r="AE88" s="3">
        <v>5</v>
      </c>
      <c r="AF88" s="1" t="str">
        <f ca="1">IFERROR(AVERAGEIF(WT_Dark_WABs[Retina],AE88,OFFSET(WT_Dark_WABs[BurstDuration],0,AE$81)),"")</f>
        <v/>
      </c>
      <c r="AG88" s="1" t="str">
        <f ca="1">IFERROR(AVERAGEIF(DTA_Dark_WABs[Retina],AE88,OFFSET(DTA_Dark_WABs[BurstDuration],0,AE$81)),"")</f>
        <v/>
      </c>
      <c r="AH88" s="1" t="str">
        <f t="shared" ca="1" si="31"/>
        <v/>
      </c>
      <c r="AI88" s="1" t="str">
        <f t="shared" ca="1" si="32"/>
        <v/>
      </c>
      <c r="AL88" s="3">
        <v>5</v>
      </c>
      <c r="AM88" s="1" t="str">
        <f ca="1">IFERROR(AVERAGEIF(WT_Dark_WABs[Retina],AL88,OFFSET(WT_Dark_WABs[BurstDuration],0,AL$81)),"")</f>
        <v/>
      </c>
      <c r="AN88" s="1" t="str">
        <f ca="1">IFERROR(AVERAGEIF(DTA_Dark_WABs[Retina],AL88,OFFSET(DTA_Dark_WABs[BurstDuration],0,AL$81)),"")</f>
        <v/>
      </c>
      <c r="AO88" s="1" t="str">
        <f t="shared" ca="1" si="33"/>
        <v/>
      </c>
      <c r="AP88" s="1" t="str">
        <f t="shared" ca="1" si="34"/>
        <v/>
      </c>
      <c r="AS88" s="3">
        <v>5</v>
      </c>
      <c r="AT88" s="1" t="str">
        <f ca="1">IFERROR(AVERAGEIF(WT_Dark_WABs[Retina],AS88,OFFSET(WT_Dark_WABs[BurstDuration],0,AS$81)),"")</f>
        <v/>
      </c>
      <c r="AU88" s="1" t="str">
        <f ca="1">IFERROR(AVERAGEIF(DTA_Dark_WABs[Retina],AS88,OFFSET(DTA_Dark_WABs[BurstDuration],0,AS$81)),"")</f>
        <v/>
      </c>
      <c r="AV88" s="1" t="str">
        <f t="shared" ca="1" si="35"/>
        <v/>
      </c>
      <c r="AW88" s="1" t="str">
        <f t="shared" ca="1" si="36"/>
        <v/>
      </c>
    </row>
    <row r="89" spans="1:49" x14ac:dyDescent="0.25">
      <c r="A89" s="106"/>
      <c r="Q89" s="3">
        <v>6</v>
      </c>
      <c r="R89" s="1" t="str">
        <f ca="1">IFERROR(AVERAGEIF(WT_Dark_WABs[Retina],Q89,OFFSET(WT_Dark_WABs[BurstDuration],0,Q$81)),"")</f>
        <v/>
      </c>
      <c r="S89" s="1" t="str">
        <f ca="1">IFERROR(AVERAGEIF(DTA_Dark_WABs[Retina],Q89,OFFSET(DTA_Dark_WABs[BurstDuration],0,Q$81)),"")</f>
        <v/>
      </c>
      <c r="T89" s="1" t="str">
        <f t="shared" ca="1" si="27"/>
        <v/>
      </c>
      <c r="U89" s="1" t="str">
        <f t="shared" ca="1" si="28"/>
        <v/>
      </c>
      <c r="X89" s="3">
        <v>6</v>
      </c>
      <c r="Y89" s="1" t="str">
        <f ca="1">IFERROR(AVERAGEIF(WT_Dark_WABs[Retina],X89,OFFSET(WT_Dark_WABs[BurstDuration],0,X$81)),"")</f>
        <v/>
      </c>
      <c r="Z89" s="1" t="str">
        <f ca="1">IFERROR(AVERAGEIF(DTA_Dark_WABs[Retina],X89,OFFSET(DTA_Dark_WABs[BurstDuration],0,X$81)),"")</f>
        <v/>
      </c>
      <c r="AA89" s="1" t="str">
        <f t="shared" ca="1" si="29"/>
        <v/>
      </c>
      <c r="AB89" s="1" t="str">
        <f t="shared" ca="1" si="30"/>
        <v/>
      </c>
      <c r="AE89" s="3">
        <v>6</v>
      </c>
      <c r="AF89" s="1" t="str">
        <f ca="1">IFERROR(AVERAGEIF(WT_Dark_WABs[Retina],AE89,OFFSET(WT_Dark_WABs[BurstDuration],0,AE$81)),"")</f>
        <v/>
      </c>
      <c r="AG89" s="1" t="str">
        <f ca="1">IFERROR(AVERAGEIF(DTA_Dark_WABs[Retina],AE89,OFFSET(DTA_Dark_WABs[BurstDuration],0,AE$81)),"")</f>
        <v/>
      </c>
      <c r="AH89" s="1" t="str">
        <f t="shared" ca="1" si="31"/>
        <v/>
      </c>
      <c r="AI89" s="1" t="str">
        <f t="shared" ca="1" si="32"/>
        <v/>
      </c>
      <c r="AL89" s="3">
        <v>6</v>
      </c>
      <c r="AM89" s="1" t="str">
        <f ca="1">IFERROR(AVERAGEIF(WT_Dark_WABs[Retina],AL89,OFFSET(WT_Dark_WABs[BurstDuration],0,AL$81)),"")</f>
        <v/>
      </c>
      <c r="AN89" s="1" t="str">
        <f ca="1">IFERROR(AVERAGEIF(DTA_Dark_WABs[Retina],AL89,OFFSET(DTA_Dark_WABs[BurstDuration],0,AL$81)),"")</f>
        <v/>
      </c>
      <c r="AO89" s="1" t="str">
        <f t="shared" ca="1" si="33"/>
        <v/>
      </c>
      <c r="AP89" s="1" t="str">
        <f t="shared" ca="1" si="34"/>
        <v/>
      </c>
      <c r="AS89" s="3">
        <v>6</v>
      </c>
      <c r="AT89" s="1" t="str">
        <f ca="1">IFERROR(AVERAGEIF(WT_Dark_WABs[Retina],AS89,OFFSET(WT_Dark_WABs[BurstDuration],0,AS$81)),"")</f>
        <v/>
      </c>
      <c r="AU89" s="1" t="str">
        <f ca="1">IFERROR(AVERAGEIF(DTA_Dark_WABs[Retina],AS89,OFFSET(DTA_Dark_WABs[BurstDuration],0,AS$81)),"")</f>
        <v/>
      </c>
      <c r="AV89" s="1" t="str">
        <f t="shared" ca="1" si="35"/>
        <v/>
      </c>
      <c r="AW89" s="1" t="str">
        <f t="shared" ca="1" si="36"/>
        <v/>
      </c>
    </row>
    <row r="90" spans="1:49" x14ac:dyDescent="0.25">
      <c r="Q90" s="3">
        <v>7</v>
      </c>
      <c r="R90" s="1" t="str">
        <f ca="1">IFERROR(AVERAGEIF(WT_Dark_WABs[Retina],Q90,OFFSET(WT_Dark_WABs[BurstDuration],0,Q$81)),"")</f>
        <v/>
      </c>
      <c r="S90" s="1" t="str">
        <f ca="1">IFERROR(AVERAGEIF(DTA_Dark_WABs[Retina],Q90,OFFSET(DTA_Dark_WABs[BurstDuration],0,Q$81)),"")</f>
        <v/>
      </c>
      <c r="T90" s="1" t="str">
        <f t="shared" ca="1" si="27"/>
        <v/>
      </c>
      <c r="U90" s="1" t="str">
        <f t="shared" ca="1" si="28"/>
        <v/>
      </c>
      <c r="X90" s="3">
        <v>7</v>
      </c>
      <c r="Y90" s="1" t="str">
        <f ca="1">IFERROR(AVERAGEIF(WT_Dark_WABs[Retina],X90,OFFSET(WT_Dark_WABs[BurstDuration],0,X$81)),"")</f>
        <v/>
      </c>
      <c r="Z90" s="1" t="str">
        <f ca="1">IFERROR(AVERAGEIF(DTA_Dark_WABs[Retina],X90,OFFSET(DTA_Dark_WABs[BurstDuration],0,X$81)),"")</f>
        <v/>
      </c>
      <c r="AA90" s="1" t="str">
        <f t="shared" ca="1" si="29"/>
        <v/>
      </c>
      <c r="AB90" s="1" t="str">
        <f t="shared" ca="1" si="30"/>
        <v/>
      </c>
      <c r="AE90" s="3">
        <v>7</v>
      </c>
      <c r="AF90" s="1" t="str">
        <f ca="1">IFERROR(AVERAGEIF(WT_Dark_WABs[Retina],AE90,OFFSET(WT_Dark_WABs[BurstDuration],0,AE$81)),"")</f>
        <v/>
      </c>
      <c r="AG90" s="1" t="str">
        <f ca="1">IFERROR(AVERAGEIF(DTA_Dark_WABs[Retina],AE90,OFFSET(DTA_Dark_WABs[BurstDuration],0,AE$81)),"")</f>
        <v/>
      </c>
      <c r="AH90" s="1" t="str">
        <f t="shared" ca="1" si="31"/>
        <v/>
      </c>
      <c r="AI90" s="1" t="str">
        <f t="shared" ca="1" si="32"/>
        <v/>
      </c>
      <c r="AL90" s="3">
        <v>7</v>
      </c>
      <c r="AM90" s="1" t="str">
        <f ca="1">IFERROR(AVERAGEIF(WT_Dark_WABs[Retina],AL90,OFFSET(WT_Dark_WABs[BurstDuration],0,AL$81)),"")</f>
        <v/>
      </c>
      <c r="AN90" s="1" t="str">
        <f ca="1">IFERROR(AVERAGEIF(DTA_Dark_WABs[Retina],AL90,OFFSET(DTA_Dark_WABs[BurstDuration],0,AL$81)),"")</f>
        <v/>
      </c>
      <c r="AO90" s="1" t="str">
        <f t="shared" ca="1" si="33"/>
        <v/>
      </c>
      <c r="AP90" s="1" t="str">
        <f t="shared" ca="1" si="34"/>
        <v/>
      </c>
      <c r="AS90" s="3">
        <v>7</v>
      </c>
      <c r="AT90" s="1" t="str">
        <f ca="1">IFERROR(AVERAGEIF(WT_Dark_WABs[Retina],AS90,OFFSET(WT_Dark_WABs[BurstDuration],0,AS$81)),"")</f>
        <v/>
      </c>
      <c r="AU90" s="1" t="str">
        <f ca="1">IFERROR(AVERAGEIF(DTA_Dark_WABs[Retina],AS90,OFFSET(DTA_Dark_WABs[BurstDuration],0,AS$81)),"")</f>
        <v/>
      </c>
      <c r="AV90" s="1" t="str">
        <f t="shared" ca="1" si="35"/>
        <v/>
      </c>
      <c r="AW90" s="1" t="str">
        <f t="shared" ca="1" si="36"/>
        <v/>
      </c>
    </row>
    <row r="92" spans="1:49" s="102" customFormat="1" x14ac:dyDescent="0.25">
      <c r="Q92" s="10"/>
      <c r="R92" s="10"/>
      <c r="S92" s="10"/>
      <c r="T92" s="10"/>
      <c r="U92" s="10"/>
      <c r="V92" s="10"/>
      <c r="W92" s="10"/>
      <c r="X92" s="10"/>
      <c r="AG92" s="10"/>
      <c r="AH92" s="10"/>
      <c r="AI92" s="10"/>
      <c r="AJ92" s="10"/>
    </row>
    <row r="95" spans="1:49" ht="15" customHeight="1" x14ac:dyDescent="0.25">
      <c r="A95" s="107" t="s">
        <v>13</v>
      </c>
      <c r="AG95" s="18"/>
      <c r="AH95" s="18"/>
      <c r="AI95" s="18"/>
      <c r="AJ95" s="18"/>
    </row>
    <row r="96" spans="1:49" x14ac:dyDescent="0.25">
      <c r="A96" s="107"/>
    </row>
    <row r="97" spans="1:36" x14ac:dyDescent="0.25">
      <c r="A97" s="107"/>
    </row>
    <row r="98" spans="1:36" x14ac:dyDescent="0.25">
      <c r="A98" s="107"/>
    </row>
    <row r="99" spans="1:36" x14ac:dyDescent="0.25">
      <c r="A99" s="107"/>
    </row>
    <row r="100" spans="1:36" x14ac:dyDescent="0.25">
      <c r="A100" s="107"/>
    </row>
    <row r="101" spans="1:36" x14ac:dyDescent="0.25">
      <c r="A101" s="107"/>
    </row>
    <row r="102" spans="1:36" x14ac:dyDescent="0.25">
      <c r="A102" s="107"/>
    </row>
    <row r="103" spans="1:36" x14ac:dyDescent="0.25">
      <c r="A103" s="107"/>
    </row>
    <row r="104" spans="1:36" x14ac:dyDescent="0.25">
      <c r="A104" s="107"/>
    </row>
    <row r="105" spans="1:36" x14ac:dyDescent="0.25">
      <c r="A105" s="107"/>
    </row>
    <row r="106" spans="1:36" x14ac:dyDescent="0.25">
      <c r="A106" s="107"/>
    </row>
    <row r="107" spans="1:36" x14ac:dyDescent="0.25">
      <c r="A107" s="107"/>
    </row>
    <row r="108" spans="1:36" x14ac:dyDescent="0.25">
      <c r="A108" s="107"/>
    </row>
    <row r="109" spans="1:36" x14ac:dyDescent="0.25">
      <c r="A109" s="107"/>
    </row>
    <row r="110" spans="1:36" x14ac:dyDescent="0.25">
      <c r="A110" s="107"/>
    </row>
    <row r="111" spans="1:36" x14ac:dyDescent="0.25">
      <c r="A111" s="107"/>
      <c r="AG111" s="18"/>
      <c r="AH111" s="18"/>
      <c r="AI111" s="18"/>
      <c r="AJ111" s="18"/>
    </row>
    <row r="112" spans="1:36" x14ac:dyDescent="0.25">
      <c r="A112" s="107"/>
    </row>
    <row r="113" spans="1:49" x14ac:dyDescent="0.25">
      <c r="A113" s="107"/>
      <c r="Q113" s="1">
        <v>0</v>
      </c>
      <c r="X113" s="1">
        <v>1</v>
      </c>
      <c r="AE113" s="1">
        <v>2</v>
      </c>
      <c r="AL113" s="1">
        <v>3</v>
      </c>
      <c r="AS113" s="1">
        <v>4</v>
      </c>
    </row>
    <row r="114" spans="1:49" ht="15.75" thickBot="1" x14ac:dyDescent="0.3">
      <c r="A114" s="107"/>
      <c r="Q114" s="104" t="s">
        <v>27</v>
      </c>
      <c r="R114" s="104"/>
      <c r="S114" s="104"/>
      <c r="T114" s="104"/>
      <c r="U114" s="104"/>
      <c r="X114" s="104" t="s">
        <v>28</v>
      </c>
      <c r="Y114" s="104"/>
      <c r="Z114" s="104"/>
      <c r="AA114" s="104"/>
      <c r="AB114" s="104"/>
      <c r="AE114" s="104" t="s">
        <v>36</v>
      </c>
      <c r="AF114" s="104"/>
      <c r="AG114" s="104"/>
      <c r="AH114" s="104"/>
      <c r="AI114" s="104"/>
      <c r="AL114" s="104" t="s">
        <v>37</v>
      </c>
      <c r="AM114" s="104"/>
      <c r="AN114" s="104"/>
      <c r="AO114" s="104"/>
      <c r="AP114" s="104"/>
      <c r="AS114" s="104" t="s">
        <v>29</v>
      </c>
      <c r="AT114" s="104"/>
      <c r="AU114" s="104"/>
      <c r="AV114" s="104"/>
      <c r="AW114" s="104"/>
    </row>
    <row r="115" spans="1:49" x14ac:dyDescent="0.25">
      <c r="A115" s="107"/>
      <c r="Q115" s="3" t="s">
        <v>0</v>
      </c>
      <c r="R115" s="3" t="s">
        <v>6</v>
      </c>
      <c r="S115" s="3" t="s">
        <v>23</v>
      </c>
      <c r="T115" s="3" t="s">
        <v>33</v>
      </c>
      <c r="U115" s="3" t="s">
        <v>32</v>
      </c>
      <c r="X115" s="3" t="s">
        <v>0</v>
      </c>
      <c r="Y115" s="3" t="s">
        <v>6</v>
      </c>
      <c r="Z115" s="3" t="s">
        <v>23</v>
      </c>
      <c r="AA115" s="3" t="s">
        <v>33</v>
      </c>
      <c r="AB115" s="3" t="s">
        <v>32</v>
      </c>
      <c r="AE115" s="3" t="s">
        <v>0</v>
      </c>
      <c r="AF115" s="3" t="s">
        <v>6</v>
      </c>
      <c r="AG115" s="3" t="s">
        <v>23</v>
      </c>
      <c r="AH115" s="3" t="s">
        <v>33</v>
      </c>
      <c r="AI115" s="3" t="s">
        <v>32</v>
      </c>
      <c r="AL115" s="3" t="s">
        <v>0</v>
      </c>
      <c r="AM115" s="3" t="s">
        <v>6</v>
      </c>
      <c r="AN115" s="3" t="s">
        <v>23</v>
      </c>
      <c r="AO115" s="3" t="s">
        <v>33</v>
      </c>
      <c r="AP115" s="3" t="s">
        <v>32</v>
      </c>
      <c r="AS115" s="3" t="s">
        <v>0</v>
      </c>
      <c r="AT115" s="3" t="s">
        <v>6</v>
      </c>
      <c r="AU115" s="3" t="s">
        <v>23</v>
      </c>
      <c r="AV115" s="3" t="s">
        <v>33</v>
      </c>
      <c r="AW115" s="3" t="s">
        <v>32</v>
      </c>
    </row>
    <row r="116" spans="1:49" x14ac:dyDescent="0.25">
      <c r="A116" s="107"/>
      <c r="Q116" s="3">
        <v>1</v>
      </c>
      <c r="R116" s="1" t="str">
        <f ca="1">IFERROR(AVERAGEIF(WT_Dark_NonWABs[Retina],Q116,OFFSET(WT_Dark_NonWABs[BurstDuration],0,Q$113)),"")</f>
        <v/>
      </c>
      <c r="S116" s="1" t="str">
        <f ca="1">IFERROR(AVERAGEIF(DTA_Dark_NonWABs[Retina],Q116,OFFSET(DTA_Dark_NonWABs[BurstDuration],0,Q$113)),"")</f>
        <v/>
      </c>
      <c r="T116" s="1" t="str">
        <f ca="1">IFERROR(R116/AVERAGE(R$116:R$122),"")</f>
        <v/>
      </c>
      <c r="U116" s="1" t="str">
        <f ca="1">IFERROR(S116/AVERAGE(R$116:R$122)-1,"")</f>
        <v/>
      </c>
      <c r="X116" s="3">
        <v>1</v>
      </c>
      <c r="Y116" s="1" t="str">
        <f ca="1">IFERROR(AVERAGEIF(WT_Dark_NonWABs[Retina],X116,OFFSET(WT_Dark_NonWABs[BurstDuration],0,X$113)),"")</f>
        <v/>
      </c>
      <c r="Z116" s="1" t="str">
        <f ca="1">IFERROR(AVERAGEIF(DTA_Dark_NonWABs[Retina],X116,OFFSET(DTA_Dark_NonWABs[BurstDuration],0,X$113)),"")</f>
        <v/>
      </c>
      <c r="AA116" s="1" t="str">
        <f ca="1">IFERROR(Y116/AVERAGE(Y$116:Y$122),"")</f>
        <v/>
      </c>
      <c r="AB116" s="1" t="str">
        <f ca="1">IFERROR(Z116/AVERAGE(Y$116:Y$122)-1,"")</f>
        <v/>
      </c>
      <c r="AE116" s="3">
        <v>1</v>
      </c>
      <c r="AF116" s="1" t="str">
        <f ca="1">IFERROR(AVERAGEIF(WT_Dark_NonWABs[Retina],AE116,OFFSET(WT_Dark_NonWABs[BurstDuration],0,AE$113)),"")</f>
        <v/>
      </c>
      <c r="AG116" s="1" t="str">
        <f ca="1">IFERROR(AVERAGEIF(DTA_Dark_NonWABs[Retina],AE116,OFFSET(DTA_Dark_NonWABs[BurstDuration],0,AE$113)),"")</f>
        <v/>
      </c>
      <c r="AH116" s="1" t="str">
        <f ca="1">IFERROR(AF116/AVERAGE(AF$116:AF$122),"")</f>
        <v/>
      </c>
      <c r="AI116" s="1" t="str">
        <f ca="1">IFERROR(AG116/AVERAGE(AF$116:AF$122)-1,"")</f>
        <v/>
      </c>
      <c r="AL116" s="3">
        <v>1</v>
      </c>
      <c r="AM116" s="1" t="str">
        <f ca="1">IFERROR(AVERAGEIF(WT_Dark_NonWABs[Retina],AL116,OFFSET(WT_Dark_NonWABs[BurstDuration],0,AL$113)),"")</f>
        <v/>
      </c>
      <c r="AN116" s="1" t="str">
        <f ca="1">IFERROR(AVERAGEIF(DTA_Dark_NonWABs[Retina],AL116,OFFSET(DTA_Dark_NonWABs[BurstDuration],0,AL$113)),"")</f>
        <v/>
      </c>
      <c r="AO116" s="1" t="str">
        <f ca="1">IFERROR(AM116/AVERAGE(AM$116:AM$122),"")</f>
        <v/>
      </c>
      <c r="AP116" s="1" t="str">
        <f ca="1">IFERROR(AN116/AVERAGE(AM$116:AM$122)-1,"")</f>
        <v/>
      </c>
      <c r="AS116" s="3">
        <v>1</v>
      </c>
      <c r="AT116" s="1" t="str">
        <f ca="1">IFERROR(AVERAGEIF(WT_Dark_NonWABs[Retina],AS116,OFFSET(WT_Dark_NonWABs[BurstDuration],0,AS$113)),"")</f>
        <v/>
      </c>
      <c r="AU116" s="1" t="str">
        <f ca="1">IFERROR(AVERAGEIF(DTA_Dark_NonWABs[Retina],AS116,OFFSET(DTA_Dark_NonWABs[BurstDuration],0,AS$113)),"")</f>
        <v/>
      </c>
      <c r="AV116" s="1" t="str">
        <f ca="1">IFERROR(AT116/AVERAGE(AT$116:AT$122),"")</f>
        <v/>
      </c>
      <c r="AW116" s="1" t="str">
        <f ca="1">IFERROR(AU116/AVERAGE(AT$116:AT$122)-1,"")</f>
        <v/>
      </c>
    </row>
    <row r="117" spans="1:49" x14ac:dyDescent="0.25">
      <c r="A117" s="107"/>
      <c r="Q117" s="3">
        <v>2</v>
      </c>
      <c r="R117" s="1" t="str">
        <f ca="1">IFERROR(AVERAGEIF(WT_Dark_NonWABs[Retina],Q117,OFFSET(WT_Dark_NonWABs[BurstDuration],0,Q$113)),"")</f>
        <v/>
      </c>
      <c r="S117" s="1" t="str">
        <f ca="1">IFERROR(AVERAGEIF(DTA_Dark_NonWABs[Retina],Q117,OFFSET(DTA_Dark_NonWABs[BurstDuration],0,Q$113)),"")</f>
        <v/>
      </c>
      <c r="T117" s="1" t="str">
        <f t="shared" ref="T117:T122" ca="1" si="37">IFERROR(R117/AVERAGE(R$116:R$122),"")</f>
        <v/>
      </c>
      <c r="U117" s="1" t="str">
        <f t="shared" ref="U117:U122" ca="1" si="38">IFERROR(S117/AVERAGE(R$116:R$122)-1,"")</f>
        <v/>
      </c>
      <c r="X117" s="3">
        <v>2</v>
      </c>
      <c r="Y117" s="1" t="str">
        <f ca="1">IFERROR(AVERAGEIF(WT_Dark_NonWABs[Retina],X117,OFFSET(WT_Dark_NonWABs[BurstDuration],0,X$113)),"")</f>
        <v/>
      </c>
      <c r="Z117" s="1" t="str">
        <f ca="1">IFERROR(AVERAGEIF(DTA_Dark_NonWABs[Retina],X117,OFFSET(DTA_Dark_NonWABs[BurstDuration],0,X$113)),"")</f>
        <v/>
      </c>
      <c r="AA117" s="1" t="str">
        <f t="shared" ref="AA117:AA122" ca="1" si="39">IFERROR(Y117/AVERAGE(Y$116:Y$122),"")</f>
        <v/>
      </c>
      <c r="AB117" s="1" t="str">
        <f t="shared" ref="AB117:AB122" ca="1" si="40">IFERROR(Z117/AVERAGE(Y$116:Y$122)-1,"")</f>
        <v/>
      </c>
      <c r="AE117" s="3">
        <v>2</v>
      </c>
      <c r="AF117" s="1" t="str">
        <f ca="1">IFERROR(AVERAGEIF(WT_Dark_NonWABs[Retina],AE117,OFFSET(WT_Dark_NonWABs[BurstDuration],0,AE$113)),"")</f>
        <v/>
      </c>
      <c r="AG117" s="1" t="str">
        <f ca="1">IFERROR(AVERAGEIF(DTA_Dark_NonWABs[Retina],AE117,OFFSET(DTA_Dark_NonWABs[BurstDuration],0,AE$113)),"")</f>
        <v/>
      </c>
      <c r="AH117" s="1" t="str">
        <f t="shared" ref="AH117:AH122" ca="1" si="41">IFERROR(AF117/AVERAGE(AF$116:AF$122),"")</f>
        <v/>
      </c>
      <c r="AI117" s="1" t="str">
        <f t="shared" ref="AI117:AI122" ca="1" si="42">IFERROR(AG117/AVERAGE(AF$116:AF$122)-1,"")</f>
        <v/>
      </c>
      <c r="AL117" s="3">
        <v>2</v>
      </c>
      <c r="AM117" s="1" t="str">
        <f ca="1">IFERROR(AVERAGEIF(WT_Dark_NonWABs[Retina],AL117,OFFSET(WT_Dark_NonWABs[BurstDuration],0,AL$113)),"")</f>
        <v/>
      </c>
      <c r="AN117" s="1" t="str">
        <f ca="1">IFERROR(AVERAGEIF(DTA_Dark_NonWABs[Retina],AL117,OFFSET(DTA_Dark_NonWABs[BurstDuration],0,AL$113)),"")</f>
        <v/>
      </c>
      <c r="AO117" s="1" t="str">
        <f t="shared" ref="AO117:AO122" ca="1" si="43">IFERROR(AM117/AVERAGE(AM$116:AM$122),"")</f>
        <v/>
      </c>
      <c r="AP117" s="1" t="str">
        <f t="shared" ref="AP117:AP122" ca="1" si="44">IFERROR(AN117/AVERAGE(AM$116:AM$122)-1,"")</f>
        <v/>
      </c>
      <c r="AS117" s="3">
        <v>2</v>
      </c>
      <c r="AT117" s="1" t="str">
        <f ca="1">IFERROR(AVERAGEIF(WT_Dark_NonWABs[Retina],AS117,OFFSET(WT_Dark_NonWABs[BurstDuration],0,AS$113)),"")</f>
        <v/>
      </c>
      <c r="AU117" s="1" t="str">
        <f ca="1">IFERROR(AVERAGEIF(DTA_Dark_NonWABs[Retina],AS117,OFFSET(DTA_Dark_NonWABs[BurstDuration],0,AS$113)),"")</f>
        <v/>
      </c>
      <c r="AV117" s="1" t="str">
        <f t="shared" ref="AV117:AV122" ca="1" si="45">IFERROR(AT117/AVERAGE(AT$116:AT$122),"")</f>
        <v/>
      </c>
      <c r="AW117" s="1" t="str">
        <f t="shared" ref="AW117:AW122" ca="1" si="46">IFERROR(AU117/AVERAGE(AT$116:AT$122)-1,"")</f>
        <v/>
      </c>
    </row>
    <row r="118" spans="1:49" x14ac:dyDescent="0.25">
      <c r="A118" s="107"/>
      <c r="Q118" s="3">
        <v>3</v>
      </c>
      <c r="R118" s="1" t="str">
        <f ca="1">IFERROR(AVERAGEIF(WT_Dark_NonWABs[Retina],Q118,OFFSET(WT_Dark_NonWABs[BurstDuration],0,Q$113)),"")</f>
        <v/>
      </c>
      <c r="S118" s="1" t="str">
        <f ca="1">IFERROR(AVERAGEIF(DTA_Dark_NonWABs[Retina],Q118,OFFSET(DTA_Dark_NonWABs[BurstDuration],0,Q$113)),"")</f>
        <v/>
      </c>
      <c r="T118" s="1" t="str">
        <f t="shared" ca="1" si="37"/>
        <v/>
      </c>
      <c r="U118" s="1" t="str">
        <f t="shared" ca="1" si="38"/>
        <v/>
      </c>
      <c r="X118" s="3">
        <v>3</v>
      </c>
      <c r="Y118" s="1" t="str">
        <f ca="1">IFERROR(AVERAGEIF(WT_Dark_NonWABs[Retina],X118,OFFSET(WT_Dark_NonWABs[BurstDuration],0,X$113)),"")</f>
        <v/>
      </c>
      <c r="Z118" s="1" t="str">
        <f ca="1">IFERROR(AVERAGEIF(DTA_Dark_NonWABs[Retina],X118,OFFSET(DTA_Dark_NonWABs[BurstDuration],0,X$113)),"")</f>
        <v/>
      </c>
      <c r="AA118" s="1" t="str">
        <f t="shared" ca="1" si="39"/>
        <v/>
      </c>
      <c r="AB118" s="1" t="str">
        <f t="shared" ca="1" si="40"/>
        <v/>
      </c>
      <c r="AE118" s="3">
        <v>3</v>
      </c>
      <c r="AF118" s="1" t="str">
        <f ca="1">IFERROR(AVERAGEIF(WT_Dark_NonWABs[Retina],AE118,OFFSET(WT_Dark_NonWABs[BurstDuration],0,AE$113)),"")</f>
        <v/>
      </c>
      <c r="AG118" s="1" t="str">
        <f ca="1">IFERROR(AVERAGEIF(DTA_Dark_NonWABs[Retina],AE118,OFFSET(DTA_Dark_NonWABs[BurstDuration],0,AE$113)),"")</f>
        <v/>
      </c>
      <c r="AH118" s="1" t="str">
        <f t="shared" ca="1" si="41"/>
        <v/>
      </c>
      <c r="AI118" s="1" t="str">
        <f t="shared" ca="1" si="42"/>
        <v/>
      </c>
      <c r="AJ118" s="18"/>
      <c r="AL118" s="3">
        <v>3</v>
      </c>
      <c r="AM118" s="1" t="str">
        <f ca="1">IFERROR(AVERAGEIF(WT_Dark_NonWABs[Retina],AL118,OFFSET(WT_Dark_NonWABs[BurstDuration],0,AL$113)),"")</f>
        <v/>
      </c>
      <c r="AN118" s="1" t="str">
        <f ca="1">IFERROR(AVERAGEIF(DTA_Dark_NonWABs[Retina],AL118,OFFSET(DTA_Dark_NonWABs[BurstDuration],0,AL$113)),"")</f>
        <v/>
      </c>
      <c r="AO118" s="1" t="str">
        <f t="shared" ca="1" si="43"/>
        <v/>
      </c>
      <c r="AP118" s="1" t="str">
        <f t="shared" ca="1" si="44"/>
        <v/>
      </c>
      <c r="AS118" s="3">
        <v>3</v>
      </c>
      <c r="AT118" s="1" t="str">
        <f ca="1">IFERROR(AVERAGEIF(WT_Dark_NonWABs[Retina],AS118,OFFSET(WT_Dark_NonWABs[BurstDuration],0,AS$113)),"")</f>
        <v/>
      </c>
      <c r="AU118" s="1" t="str">
        <f ca="1">IFERROR(AVERAGEIF(DTA_Dark_NonWABs[Retina],AS118,OFFSET(DTA_Dark_NonWABs[BurstDuration],0,AS$113)),"")</f>
        <v/>
      </c>
      <c r="AV118" s="1" t="str">
        <f t="shared" ca="1" si="45"/>
        <v/>
      </c>
      <c r="AW118" s="1" t="str">
        <f t="shared" ca="1" si="46"/>
        <v/>
      </c>
    </row>
    <row r="119" spans="1:49" x14ac:dyDescent="0.25">
      <c r="A119" s="107"/>
      <c r="Q119" s="3">
        <v>4</v>
      </c>
      <c r="R119" s="1" t="str">
        <f ca="1">IFERROR(AVERAGEIF(WT_Dark_NonWABs[Retina],Q119,OFFSET(WT_Dark_NonWABs[BurstDuration],0,Q$113)),"")</f>
        <v/>
      </c>
      <c r="S119" s="1" t="str">
        <f ca="1">IFERROR(AVERAGEIF(DTA_Dark_NonWABs[Retina],Q119,OFFSET(DTA_Dark_NonWABs[BurstDuration],0,Q$113)),"")</f>
        <v/>
      </c>
      <c r="T119" s="1" t="str">
        <f t="shared" ca="1" si="37"/>
        <v/>
      </c>
      <c r="U119" s="1" t="str">
        <f t="shared" ca="1" si="38"/>
        <v/>
      </c>
      <c r="X119" s="3">
        <v>4</v>
      </c>
      <c r="Y119" s="1" t="str">
        <f ca="1">IFERROR(AVERAGEIF(WT_Dark_NonWABs[Retina],X119,OFFSET(WT_Dark_NonWABs[BurstDuration],0,X$113)),"")</f>
        <v/>
      </c>
      <c r="Z119" s="1" t="str">
        <f ca="1">IFERROR(AVERAGEIF(DTA_Dark_NonWABs[Retina],X119,OFFSET(DTA_Dark_NonWABs[BurstDuration],0,X$113)),"")</f>
        <v/>
      </c>
      <c r="AA119" s="1" t="str">
        <f t="shared" ca="1" si="39"/>
        <v/>
      </c>
      <c r="AB119" s="1" t="str">
        <f t="shared" ca="1" si="40"/>
        <v/>
      </c>
      <c r="AE119" s="3">
        <v>4</v>
      </c>
      <c r="AF119" s="1" t="str">
        <f ca="1">IFERROR(AVERAGEIF(WT_Dark_NonWABs[Retina],AE119,OFFSET(WT_Dark_NonWABs[BurstDuration],0,AE$113)),"")</f>
        <v/>
      </c>
      <c r="AG119" s="1" t="str">
        <f ca="1">IFERROR(AVERAGEIF(DTA_Dark_NonWABs[Retina],AE119,OFFSET(DTA_Dark_NonWABs[BurstDuration],0,AE$113)),"")</f>
        <v/>
      </c>
      <c r="AH119" s="1" t="str">
        <f t="shared" ca="1" si="41"/>
        <v/>
      </c>
      <c r="AI119" s="1" t="str">
        <f t="shared" ca="1" si="42"/>
        <v/>
      </c>
      <c r="AL119" s="3">
        <v>4</v>
      </c>
      <c r="AM119" s="1" t="str">
        <f ca="1">IFERROR(AVERAGEIF(WT_Dark_NonWABs[Retina],AL119,OFFSET(WT_Dark_NonWABs[BurstDuration],0,AL$113)),"")</f>
        <v/>
      </c>
      <c r="AN119" s="1" t="str">
        <f ca="1">IFERROR(AVERAGEIF(DTA_Dark_NonWABs[Retina],AL119,OFFSET(DTA_Dark_NonWABs[BurstDuration],0,AL$113)),"")</f>
        <v/>
      </c>
      <c r="AO119" s="1" t="str">
        <f t="shared" ca="1" si="43"/>
        <v/>
      </c>
      <c r="AP119" s="1" t="str">
        <f t="shared" ca="1" si="44"/>
        <v/>
      </c>
      <c r="AS119" s="3">
        <v>4</v>
      </c>
      <c r="AT119" s="1" t="str">
        <f ca="1">IFERROR(AVERAGEIF(WT_Dark_NonWABs[Retina],AS119,OFFSET(WT_Dark_NonWABs[BurstDuration],0,AS$113)),"")</f>
        <v/>
      </c>
      <c r="AU119" s="1" t="str">
        <f ca="1">IFERROR(AVERAGEIF(DTA_Dark_NonWABs[Retina],AS119,OFFSET(DTA_Dark_NonWABs[BurstDuration],0,AS$113)),"")</f>
        <v/>
      </c>
      <c r="AV119" s="1" t="str">
        <f t="shared" ca="1" si="45"/>
        <v/>
      </c>
      <c r="AW119" s="1" t="str">
        <f t="shared" ca="1" si="46"/>
        <v/>
      </c>
    </row>
    <row r="120" spans="1:49" x14ac:dyDescent="0.25">
      <c r="A120" s="107"/>
      <c r="Q120" s="3">
        <v>5</v>
      </c>
      <c r="R120" s="1" t="str">
        <f ca="1">IFERROR(AVERAGEIF(WT_Dark_NonWABs[Retina],Q120,OFFSET(WT_Dark_NonWABs[BurstDuration],0,Q$113)),"")</f>
        <v/>
      </c>
      <c r="S120" s="1" t="str">
        <f ca="1">IFERROR(AVERAGEIF(DTA_Dark_NonWABs[Retina],Q120,OFFSET(DTA_Dark_NonWABs[BurstDuration],0,Q$113)),"")</f>
        <v/>
      </c>
      <c r="T120" s="1" t="str">
        <f t="shared" ca="1" si="37"/>
        <v/>
      </c>
      <c r="U120" s="1" t="str">
        <f t="shared" ca="1" si="38"/>
        <v/>
      </c>
      <c r="X120" s="3">
        <v>5</v>
      </c>
      <c r="Y120" s="1" t="str">
        <f ca="1">IFERROR(AVERAGEIF(WT_Dark_NonWABs[Retina],X120,OFFSET(WT_Dark_NonWABs[BurstDuration],0,X$113)),"")</f>
        <v/>
      </c>
      <c r="Z120" s="1" t="str">
        <f ca="1">IFERROR(AVERAGEIF(DTA_Dark_NonWABs[Retina],X120,OFFSET(DTA_Dark_NonWABs[BurstDuration],0,X$113)),"")</f>
        <v/>
      </c>
      <c r="AA120" s="1" t="str">
        <f t="shared" ca="1" si="39"/>
        <v/>
      </c>
      <c r="AB120" s="1" t="str">
        <f t="shared" ca="1" si="40"/>
        <v/>
      </c>
      <c r="AE120" s="3">
        <v>5</v>
      </c>
      <c r="AF120" s="1" t="str">
        <f ca="1">IFERROR(AVERAGEIF(WT_Dark_NonWABs[Retina],AE120,OFFSET(WT_Dark_NonWABs[BurstDuration],0,AE$113)),"")</f>
        <v/>
      </c>
      <c r="AG120" s="1" t="str">
        <f ca="1">IFERROR(AVERAGEIF(DTA_Dark_NonWABs[Retina],AE120,OFFSET(DTA_Dark_NonWABs[BurstDuration],0,AE$113)),"")</f>
        <v/>
      </c>
      <c r="AH120" s="1" t="str">
        <f t="shared" ca="1" si="41"/>
        <v/>
      </c>
      <c r="AI120" s="1" t="str">
        <f t="shared" ca="1" si="42"/>
        <v/>
      </c>
      <c r="AL120" s="3">
        <v>5</v>
      </c>
      <c r="AM120" s="1" t="str">
        <f ca="1">IFERROR(AVERAGEIF(WT_Dark_NonWABs[Retina],AL120,OFFSET(WT_Dark_NonWABs[BurstDuration],0,AL$113)),"")</f>
        <v/>
      </c>
      <c r="AN120" s="1" t="str">
        <f ca="1">IFERROR(AVERAGEIF(DTA_Dark_NonWABs[Retina],AL120,OFFSET(DTA_Dark_NonWABs[BurstDuration],0,AL$113)),"")</f>
        <v/>
      </c>
      <c r="AO120" s="1" t="str">
        <f t="shared" ca="1" si="43"/>
        <v/>
      </c>
      <c r="AP120" s="1" t="str">
        <f t="shared" ca="1" si="44"/>
        <v/>
      </c>
      <c r="AS120" s="3">
        <v>5</v>
      </c>
      <c r="AT120" s="1" t="str">
        <f ca="1">IFERROR(AVERAGEIF(WT_Dark_NonWABs[Retina],AS120,OFFSET(WT_Dark_NonWABs[BurstDuration],0,AS$113)),"")</f>
        <v/>
      </c>
      <c r="AU120" s="1" t="str">
        <f ca="1">IFERROR(AVERAGEIF(DTA_Dark_NonWABs[Retina],AS120,OFFSET(DTA_Dark_NonWABs[BurstDuration],0,AS$113)),"")</f>
        <v/>
      </c>
      <c r="AV120" s="1" t="str">
        <f t="shared" ca="1" si="45"/>
        <v/>
      </c>
      <c r="AW120" s="1" t="str">
        <f t="shared" ca="1" si="46"/>
        <v/>
      </c>
    </row>
    <row r="121" spans="1:49" x14ac:dyDescent="0.25">
      <c r="A121" s="107"/>
      <c r="Q121" s="3">
        <v>6</v>
      </c>
      <c r="R121" s="1" t="str">
        <f ca="1">IFERROR(AVERAGEIF(WT_Dark_NonWABs[Retina],Q121,OFFSET(WT_Dark_NonWABs[BurstDuration],0,Q$113)),"")</f>
        <v/>
      </c>
      <c r="S121" s="1" t="str">
        <f ca="1">IFERROR(AVERAGEIF(DTA_Dark_NonWABs[Retina],Q121,OFFSET(DTA_Dark_NonWABs[BurstDuration],0,Q$113)),"")</f>
        <v/>
      </c>
      <c r="T121" s="1" t="str">
        <f t="shared" ca="1" si="37"/>
        <v/>
      </c>
      <c r="U121" s="1" t="str">
        <f t="shared" ca="1" si="38"/>
        <v/>
      </c>
      <c r="X121" s="3">
        <v>6</v>
      </c>
      <c r="Y121" s="1" t="str">
        <f ca="1">IFERROR(AVERAGEIF(WT_Dark_NonWABs[Retina],X121,OFFSET(WT_Dark_NonWABs[BurstDuration],0,X$113)),"")</f>
        <v/>
      </c>
      <c r="Z121" s="1" t="str">
        <f ca="1">IFERROR(AVERAGEIF(DTA_Dark_NonWABs[Retina],X121,OFFSET(DTA_Dark_NonWABs[BurstDuration],0,X$113)),"")</f>
        <v/>
      </c>
      <c r="AA121" s="1" t="str">
        <f t="shared" ca="1" si="39"/>
        <v/>
      </c>
      <c r="AB121" s="1" t="str">
        <f t="shared" ca="1" si="40"/>
        <v/>
      </c>
      <c r="AE121" s="3">
        <v>6</v>
      </c>
      <c r="AF121" s="1" t="str">
        <f ca="1">IFERROR(AVERAGEIF(WT_Dark_NonWABs[Retina],AE121,OFFSET(WT_Dark_NonWABs[BurstDuration],0,AE$113)),"")</f>
        <v/>
      </c>
      <c r="AG121" s="1" t="str">
        <f ca="1">IFERROR(AVERAGEIF(DTA_Dark_NonWABs[Retina],AE121,OFFSET(DTA_Dark_NonWABs[BurstDuration],0,AE$113)),"")</f>
        <v/>
      </c>
      <c r="AH121" s="1" t="str">
        <f t="shared" ca="1" si="41"/>
        <v/>
      </c>
      <c r="AI121" s="1" t="str">
        <f t="shared" ca="1" si="42"/>
        <v/>
      </c>
      <c r="AL121" s="3">
        <v>6</v>
      </c>
      <c r="AM121" s="1" t="str">
        <f ca="1">IFERROR(AVERAGEIF(WT_Dark_NonWABs[Retina],AL121,OFFSET(WT_Dark_NonWABs[BurstDuration],0,AL$113)),"")</f>
        <v/>
      </c>
      <c r="AN121" s="1" t="str">
        <f ca="1">IFERROR(AVERAGEIF(DTA_Dark_NonWABs[Retina],AL121,OFFSET(DTA_Dark_NonWABs[BurstDuration],0,AL$113)),"")</f>
        <v/>
      </c>
      <c r="AO121" s="1" t="str">
        <f t="shared" ca="1" si="43"/>
        <v/>
      </c>
      <c r="AP121" s="1" t="str">
        <f t="shared" ca="1" si="44"/>
        <v/>
      </c>
      <c r="AS121" s="3">
        <v>6</v>
      </c>
      <c r="AT121" s="1" t="str">
        <f ca="1">IFERROR(AVERAGEIF(WT_Dark_NonWABs[Retina],AS121,OFFSET(WT_Dark_NonWABs[BurstDuration],0,AS$113)),"")</f>
        <v/>
      </c>
      <c r="AU121" s="1" t="str">
        <f ca="1">IFERROR(AVERAGEIF(DTA_Dark_NonWABs[Retina],AS121,OFFSET(DTA_Dark_NonWABs[BurstDuration],0,AS$113)),"")</f>
        <v/>
      </c>
      <c r="AV121" s="1" t="str">
        <f t="shared" ca="1" si="45"/>
        <v/>
      </c>
      <c r="AW121" s="1" t="str">
        <f t="shared" ca="1" si="46"/>
        <v/>
      </c>
    </row>
    <row r="122" spans="1:49" x14ac:dyDescent="0.25">
      <c r="Q122" s="3">
        <v>7</v>
      </c>
      <c r="R122" s="1" t="str">
        <f ca="1">IFERROR(AVERAGEIF(WT_Dark_NonWABs[Retina],Q122,OFFSET(WT_Dark_NonWABs[BurstDuration],0,Q$113)),"")</f>
        <v/>
      </c>
      <c r="S122" s="1" t="str">
        <f ca="1">IFERROR(AVERAGEIF(DTA_Dark_NonWABs[Retina],Q122,OFFSET(DTA_Dark_NonWABs[BurstDuration],0,Q$113)),"")</f>
        <v/>
      </c>
      <c r="T122" s="1" t="str">
        <f t="shared" ca="1" si="37"/>
        <v/>
      </c>
      <c r="U122" s="1" t="str">
        <f t="shared" ca="1" si="38"/>
        <v/>
      </c>
      <c r="X122" s="3">
        <v>7</v>
      </c>
      <c r="Y122" s="1" t="str">
        <f ca="1">IFERROR(AVERAGEIF(WT_Dark_NonWABs[Retina],X122,OFFSET(WT_Dark_NonWABs[BurstDuration],0,X$113)),"")</f>
        <v/>
      </c>
      <c r="Z122" s="1" t="str">
        <f ca="1">IFERROR(AVERAGEIF(DTA_Dark_NonWABs[Retina],X122,OFFSET(DTA_Dark_NonWABs[BurstDuration],0,X$113)),"")</f>
        <v/>
      </c>
      <c r="AA122" s="1" t="str">
        <f t="shared" ca="1" si="39"/>
        <v/>
      </c>
      <c r="AB122" s="1" t="str">
        <f t="shared" ca="1" si="40"/>
        <v/>
      </c>
      <c r="AE122" s="3">
        <v>7</v>
      </c>
      <c r="AF122" s="1" t="str">
        <f ca="1">IFERROR(AVERAGEIF(WT_Dark_NonWABs[Retina],AE122,OFFSET(WT_Dark_NonWABs[BurstDuration],0,AE$113)),"")</f>
        <v/>
      </c>
      <c r="AG122" s="1" t="str">
        <f ca="1">IFERROR(AVERAGEIF(DTA_Dark_NonWABs[Retina],AE122,OFFSET(DTA_Dark_NonWABs[BurstDuration],0,AE$113)),"")</f>
        <v/>
      </c>
      <c r="AH122" s="1" t="str">
        <f t="shared" ca="1" si="41"/>
        <v/>
      </c>
      <c r="AI122" s="1" t="str">
        <f t="shared" ca="1" si="42"/>
        <v/>
      </c>
      <c r="AL122" s="3">
        <v>7</v>
      </c>
      <c r="AM122" s="1" t="str">
        <f ca="1">IFERROR(AVERAGEIF(WT_Dark_NonWABs[Retina],AL122,OFFSET(WT_Dark_NonWABs[BurstDuration],0,AL$113)),"")</f>
        <v/>
      </c>
      <c r="AN122" s="1" t="str">
        <f ca="1">IFERROR(AVERAGEIF(DTA_Dark_NonWABs[Retina],AL122,OFFSET(DTA_Dark_NonWABs[BurstDuration],0,AL$113)),"")</f>
        <v/>
      </c>
      <c r="AO122" s="1" t="str">
        <f t="shared" ca="1" si="43"/>
        <v/>
      </c>
      <c r="AP122" s="1" t="str">
        <f t="shared" ca="1" si="44"/>
        <v/>
      </c>
      <c r="AS122" s="3">
        <v>7</v>
      </c>
      <c r="AT122" s="1" t="str">
        <f ca="1">IFERROR(AVERAGEIF(WT_Dark_NonWABs[Retina],AS122,OFFSET(WT_Dark_NonWABs[BurstDuration],0,AS$113)),"")</f>
        <v/>
      </c>
      <c r="AU122" s="1" t="str">
        <f ca="1">IFERROR(AVERAGEIF(DTA_Dark_NonWABs[Retina],AS122,OFFSET(DTA_Dark_NonWABs[BurstDuration],0,AS$113)),"")</f>
        <v/>
      </c>
      <c r="AV122" s="1" t="str">
        <f t="shared" ca="1" si="45"/>
        <v/>
      </c>
      <c r="AW122" s="1" t="str">
        <f t="shared" ca="1" si="46"/>
        <v/>
      </c>
    </row>
    <row r="131" spans="23:36" x14ac:dyDescent="0.25">
      <c r="W131" s="18"/>
      <c r="X131" s="18"/>
      <c r="AE131" s="1"/>
      <c r="AF131" s="1"/>
      <c r="AI131" s="18"/>
      <c r="AJ131" s="18"/>
    </row>
    <row r="132" spans="23:36" x14ac:dyDescent="0.25">
      <c r="X132" s="18"/>
      <c r="AF132" s="1"/>
      <c r="AJ132" s="18"/>
    </row>
    <row r="133" spans="23:36" x14ac:dyDescent="0.25">
      <c r="X133" s="18"/>
      <c r="AF133" s="1"/>
      <c r="AJ133" s="18"/>
    </row>
    <row r="134" spans="23:36" x14ac:dyDescent="0.25">
      <c r="X134" s="18"/>
      <c r="AF134" s="1"/>
      <c r="AJ134" s="18"/>
    </row>
    <row r="135" spans="23:36" x14ac:dyDescent="0.25">
      <c r="X135" s="18"/>
      <c r="AF135" s="1"/>
      <c r="AJ135" s="18"/>
    </row>
    <row r="136" spans="23:36" x14ac:dyDescent="0.25">
      <c r="X136" s="18"/>
      <c r="AF136" s="1"/>
      <c r="AJ136" s="18"/>
    </row>
    <row r="137" spans="23:36" x14ac:dyDescent="0.25">
      <c r="X137" s="18"/>
      <c r="AF137" s="1"/>
      <c r="AJ137" s="18"/>
    </row>
    <row r="138" spans="23:36" x14ac:dyDescent="0.25">
      <c r="X138" s="18"/>
      <c r="AF138" s="1"/>
      <c r="AJ138" s="18"/>
    </row>
    <row r="139" spans="23:36" x14ac:dyDescent="0.25">
      <c r="X139" s="18"/>
      <c r="AF139" s="1"/>
      <c r="AJ139" s="18"/>
    </row>
    <row r="140" spans="23:36" x14ac:dyDescent="0.25">
      <c r="X140" s="18"/>
      <c r="AF140" s="1"/>
      <c r="AJ140" s="18"/>
    </row>
    <row r="141" spans="23:36" x14ac:dyDescent="0.25">
      <c r="X141" s="18"/>
      <c r="AF141" s="1"/>
      <c r="AJ141" s="18"/>
    </row>
    <row r="142" spans="23:36" x14ac:dyDescent="0.25">
      <c r="X142" s="18"/>
      <c r="AF142" s="1"/>
      <c r="AJ142" s="18"/>
    </row>
    <row r="143" spans="23:36" x14ac:dyDescent="0.25">
      <c r="X143" s="18"/>
      <c r="AF143" s="1"/>
      <c r="AJ143" s="18"/>
    </row>
    <row r="144" spans="23:36" x14ac:dyDescent="0.25">
      <c r="X144" s="18"/>
      <c r="AF144" s="1"/>
      <c r="AJ144" s="18"/>
    </row>
    <row r="145" spans="24:36" x14ac:dyDescent="0.25">
      <c r="X145" s="18"/>
      <c r="AF145" s="1"/>
      <c r="AJ145" s="18"/>
    </row>
    <row r="146" spans="24:36" x14ac:dyDescent="0.25">
      <c r="X146" s="18"/>
      <c r="AF146" s="1"/>
      <c r="AJ146" s="18"/>
    </row>
    <row r="147" spans="24:36" x14ac:dyDescent="0.25">
      <c r="X147" s="18"/>
      <c r="AF147" s="1"/>
      <c r="AJ147" s="18"/>
    </row>
    <row r="148" spans="24:36" x14ac:dyDescent="0.25">
      <c r="X148" s="18"/>
      <c r="AF148" s="1"/>
      <c r="AJ148" s="18"/>
    </row>
    <row r="149" spans="24:36" x14ac:dyDescent="0.25">
      <c r="X149" s="18"/>
      <c r="AF149" s="1"/>
      <c r="AJ149" s="18"/>
    </row>
    <row r="150" spans="24:36" x14ac:dyDescent="0.25">
      <c r="X150" s="18"/>
      <c r="AF150" s="1"/>
      <c r="AJ150" s="18"/>
    </row>
  </sheetData>
  <mergeCells count="19">
    <mergeCell ref="A34:A57"/>
    <mergeCell ref="A63:A89"/>
    <mergeCell ref="A95:A121"/>
    <mergeCell ref="Q50:U50"/>
    <mergeCell ref="X50:AB50"/>
    <mergeCell ref="AE50:AI50"/>
    <mergeCell ref="AL50:AP50"/>
    <mergeCell ref="AS50:AW50"/>
    <mergeCell ref="AZ50:BD50"/>
    <mergeCell ref="AS82:AW82"/>
    <mergeCell ref="AL82:AP82"/>
    <mergeCell ref="AL114:AP114"/>
    <mergeCell ref="AS114:AW114"/>
    <mergeCell ref="AE82:AI82"/>
    <mergeCell ref="X82:AB82"/>
    <mergeCell ref="Q82:U82"/>
    <mergeCell ref="Q114:U114"/>
    <mergeCell ref="X114:AB114"/>
    <mergeCell ref="AE114:AI114"/>
  </mergeCells>
  <conditionalFormatting sqref="S7:S22">
    <cfRule type="cellIs" dxfId="89" priority="1" operator="lessThan">
      <formula>PValue</formula>
    </cfRule>
  </conditionalFormatting>
  <pageMargins left="0.7" right="0.7" top="0.75" bottom="0.75" header="0.3" footer="0.3"/>
  <pageSetup orientation="portrait" r:id="rId1"/>
  <ignoredErrors>
    <ignoredError sqref="C18 C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7.5703125" style="12" bestFit="1" customWidth="1"/>
    <col min="8" max="8" width="23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8" ht="21" x14ac:dyDescent="0.25">
      <c r="A1" s="108" t="s">
        <v>21</v>
      </c>
      <c r="B1" s="108"/>
      <c r="C1" s="109" t="s">
        <v>14</v>
      </c>
      <c r="D1" s="109"/>
      <c r="E1" s="109"/>
      <c r="F1" s="109"/>
      <c r="G1" s="109"/>
      <c r="H1" s="109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8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7" ht="21" x14ac:dyDescent="0.25">
      <c r="A1" s="108" t="s">
        <v>21</v>
      </c>
      <c r="B1" s="108"/>
      <c r="C1" s="110" t="s">
        <v>10</v>
      </c>
      <c r="D1" s="110"/>
      <c r="E1" s="110"/>
      <c r="F1" s="110"/>
      <c r="G1" s="110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1.7109375" style="12" bestFit="1" customWidth="1"/>
    <col min="9" max="9" width="29.5703125" style="12" bestFit="1" customWidth="1"/>
    <col min="10" max="10" width="16.7109375" style="12" bestFit="1" customWidth="1"/>
    <col min="11" max="16384" width="9.140625" style="12"/>
  </cols>
  <sheetData>
    <row r="1" spans="1:7" ht="21" x14ac:dyDescent="0.25">
      <c r="A1" s="108" t="s">
        <v>21</v>
      </c>
      <c r="B1" s="108"/>
      <c r="C1" s="111" t="s">
        <v>13</v>
      </c>
      <c r="D1" s="111"/>
      <c r="E1" s="111"/>
      <c r="F1" s="111"/>
      <c r="G1" s="111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7.5703125" style="12" bestFit="1" customWidth="1"/>
    <col min="8" max="8" width="23.7109375" style="12" bestFit="1" customWidth="1"/>
    <col min="9" max="16384" width="9.140625" style="12"/>
  </cols>
  <sheetData>
    <row r="1" spans="1:8" ht="21" x14ac:dyDescent="0.25">
      <c r="A1" s="112" t="s">
        <v>20</v>
      </c>
      <c r="B1" s="112"/>
      <c r="C1" s="109" t="s">
        <v>14</v>
      </c>
      <c r="D1" s="109"/>
      <c r="E1" s="109"/>
      <c r="F1" s="109"/>
      <c r="G1" s="109"/>
      <c r="H1" s="109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16384" width="9.140625" style="12"/>
  </cols>
  <sheetData>
    <row r="1" spans="1:7" ht="21" x14ac:dyDescent="0.25">
      <c r="A1" s="112" t="s">
        <v>20</v>
      </c>
      <c r="B1" s="112"/>
      <c r="C1" s="110" t="s">
        <v>10</v>
      </c>
      <c r="D1" s="110"/>
      <c r="E1" s="110"/>
      <c r="F1" s="110"/>
      <c r="G1" s="110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A3" sqref="A3"/>
    </sheetView>
  </sheetViews>
  <sheetFormatPr defaultRowHeight="15" x14ac:dyDescent="0.25"/>
  <cols>
    <col min="1" max="1" width="9" style="3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112" t="s">
        <v>20</v>
      </c>
      <c r="B1" s="112"/>
      <c r="C1" s="111" t="s">
        <v>13</v>
      </c>
      <c r="D1" s="111"/>
      <c r="E1" s="111"/>
      <c r="F1" s="111"/>
      <c r="G1" s="111"/>
    </row>
    <row r="2" spans="1:7" x14ac:dyDescent="0.25">
      <c r="A2" s="9" t="s">
        <v>0</v>
      </c>
      <c r="B2" s="9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</row>
  </sheetData>
  <mergeCells count="2">
    <mergeCell ref="C1:G1"/>
    <mergeCell ref="A1:B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Contents</vt:lpstr>
      <vt:lpstr>Invalid Units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  <vt:lpstr>PropertyCols</vt:lpstr>
      <vt:lpstr>PropertyRows</vt:lpstr>
      <vt:lpstr>PValue</vt:lpstr>
      <vt:lpstr>TTTails</vt:lpstr>
      <vt:lpstr>TTType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2016-03-11T07:44:58Z</dcterms:modified>
</cp:coreProperties>
</file>