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an_Programming\Programs\MEA-Cruncher\Old_Scripts\Excel_Macros\"/>
    </mc:Choice>
  </mc:AlternateContent>
  <bookViews>
    <workbookView xWindow="-15" yWindow="-15" windowWidth="14400" windowHeight="12855" tabRatio="681" activeTab="3"/>
  </bookViews>
  <sheets>
    <sheet name="Contents" sheetId="9" r:id="rId1"/>
    <sheet name="Invalid Cells" sheetId="16" r:id="rId2"/>
    <sheet name="ANOVA" sheetId="12" r:id="rId3"/>
    <sheet name="Figures" sheetId="2" r:id="rId4"/>
    <sheet name="WT_Dark_All" sheetId="6" r:id="rId5"/>
    <sheet name="WT_Dark_WABs" sheetId="17" r:id="rId6"/>
    <sheet name="WT_Dark_NonWABs" sheetId="18" r:id="rId7"/>
    <sheet name="DTA_Dark_All" sheetId="7" r:id="rId8"/>
    <sheet name="DTA_Dark_WABs" sheetId="19" r:id="rId9"/>
    <sheet name="DTA_Dark_NonWABs" sheetId="20" r:id="rId10"/>
  </sheets>
  <functionGroups builtInGroupCount="18"/>
  <definedNames>
    <definedName name="InterElectrodeDist">#REF!</definedName>
    <definedName name="numPops" localSheetId="9">'Invalid Cells'!#REF!</definedName>
    <definedName name="numPops" localSheetId="8">'Invalid Cells'!#REF!</definedName>
    <definedName name="numPops" localSheetId="6">'Invalid Cells'!#REF!</definedName>
    <definedName name="numPops" localSheetId="5">'Invalid Cells'!#REF!</definedName>
    <definedName name="numPops">'Invalid Cells'!#REF!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105" i="2" l="1"/>
  <c r="AC105" i="2"/>
  <c r="AB106" i="2"/>
  <c r="AC106" i="2"/>
  <c r="AB107" i="2"/>
  <c r="AC107" i="2"/>
  <c r="AB108" i="2"/>
  <c r="AC108" i="2"/>
  <c r="AB109" i="2"/>
  <c r="AC109" i="2"/>
  <c r="AB110" i="2"/>
  <c r="AC110" i="2"/>
  <c r="AC104" i="2"/>
  <c r="AB104" i="2"/>
  <c r="V105" i="2"/>
  <c r="W105" i="2"/>
  <c r="V106" i="2"/>
  <c r="W106" i="2"/>
  <c r="V107" i="2"/>
  <c r="W107" i="2"/>
  <c r="V108" i="2"/>
  <c r="W108" i="2"/>
  <c r="V109" i="2"/>
  <c r="W109" i="2"/>
  <c r="V110" i="2"/>
  <c r="W110" i="2"/>
  <c r="W104" i="2"/>
  <c r="V104" i="2"/>
  <c r="P105" i="2"/>
  <c r="Q105" i="2"/>
  <c r="P106" i="2"/>
  <c r="Q106" i="2"/>
  <c r="P107" i="2"/>
  <c r="Q107" i="2"/>
  <c r="P108" i="2"/>
  <c r="Q108" i="2"/>
  <c r="P109" i="2"/>
  <c r="Q109" i="2"/>
  <c r="P110" i="2"/>
  <c r="Q110" i="2"/>
  <c r="Q104" i="2"/>
  <c r="P104" i="2"/>
  <c r="J105" i="2"/>
  <c r="K105" i="2"/>
  <c r="J106" i="2"/>
  <c r="K106" i="2"/>
  <c r="J107" i="2"/>
  <c r="K107" i="2"/>
  <c r="J108" i="2"/>
  <c r="K108" i="2"/>
  <c r="J109" i="2"/>
  <c r="K109" i="2"/>
  <c r="J110" i="2"/>
  <c r="K110" i="2"/>
  <c r="K104" i="2"/>
  <c r="J104" i="2"/>
  <c r="AC97" i="2"/>
  <c r="AB97" i="2"/>
  <c r="W97" i="2"/>
  <c r="V97" i="2"/>
  <c r="Q97" i="2"/>
  <c r="P97" i="2"/>
  <c r="K97" i="2"/>
  <c r="J97" i="2"/>
  <c r="D105" i="2"/>
  <c r="E105" i="2"/>
  <c r="D106" i="2"/>
  <c r="E106" i="2"/>
  <c r="D107" i="2"/>
  <c r="E107" i="2"/>
  <c r="D108" i="2"/>
  <c r="E108" i="2"/>
  <c r="D109" i="2"/>
  <c r="E109" i="2"/>
  <c r="D110" i="2"/>
  <c r="E110" i="2"/>
  <c r="E104" i="2"/>
  <c r="D104" i="2"/>
  <c r="D97" i="2"/>
  <c r="E97" i="2"/>
  <c r="AB66" i="2"/>
  <c r="AC66" i="2"/>
  <c r="AB67" i="2"/>
  <c r="AC67" i="2"/>
  <c r="AB68" i="2"/>
  <c r="AC68" i="2"/>
  <c r="AB69" i="2"/>
  <c r="AC69" i="2"/>
  <c r="AB70" i="2"/>
  <c r="AC70" i="2"/>
  <c r="AB71" i="2"/>
  <c r="AC71" i="2"/>
  <c r="AC65" i="2"/>
  <c r="AB65" i="2"/>
  <c r="AC58" i="2"/>
  <c r="AB58" i="2"/>
  <c r="V66" i="2"/>
  <c r="W66" i="2"/>
  <c r="V67" i="2"/>
  <c r="W67" i="2"/>
  <c r="V68" i="2"/>
  <c r="W68" i="2"/>
  <c r="V69" i="2"/>
  <c r="W69" i="2"/>
  <c r="V70" i="2"/>
  <c r="W70" i="2"/>
  <c r="V71" i="2"/>
  <c r="W71" i="2"/>
  <c r="W65" i="2"/>
  <c r="V65" i="2"/>
  <c r="W58" i="2"/>
  <c r="V58" i="2"/>
  <c r="P66" i="2"/>
  <c r="Q66" i="2"/>
  <c r="P67" i="2"/>
  <c r="Q67" i="2"/>
  <c r="P68" i="2"/>
  <c r="Q68" i="2"/>
  <c r="P69" i="2"/>
  <c r="Q69" i="2"/>
  <c r="P70" i="2"/>
  <c r="Q70" i="2"/>
  <c r="P71" i="2"/>
  <c r="Q71" i="2"/>
  <c r="Q65" i="2"/>
  <c r="P65" i="2"/>
  <c r="J66" i="2"/>
  <c r="K66" i="2"/>
  <c r="J67" i="2"/>
  <c r="K67" i="2"/>
  <c r="J68" i="2"/>
  <c r="K68" i="2"/>
  <c r="J69" i="2"/>
  <c r="K69" i="2"/>
  <c r="J70" i="2"/>
  <c r="K70" i="2"/>
  <c r="J71" i="2"/>
  <c r="K71" i="2"/>
  <c r="K65" i="2"/>
  <c r="J65" i="2"/>
  <c r="D66" i="2"/>
  <c r="E66" i="2"/>
  <c r="D67" i="2"/>
  <c r="E67" i="2"/>
  <c r="D68" i="2"/>
  <c r="E68" i="2"/>
  <c r="D69" i="2"/>
  <c r="E69" i="2"/>
  <c r="D70" i="2"/>
  <c r="E70" i="2"/>
  <c r="D71" i="2"/>
  <c r="E71" i="2"/>
  <c r="E65" i="2"/>
  <c r="D65" i="2"/>
  <c r="AC20" i="2"/>
  <c r="Q98" i="2"/>
  <c r="E98" i="2"/>
  <c r="P20" i="2"/>
  <c r="D20" i="2"/>
  <c r="W20" i="2"/>
  <c r="D98" i="2"/>
  <c r="AB20" i="2"/>
  <c r="AC98" i="2"/>
  <c r="K98" i="2"/>
  <c r="V98" i="2"/>
  <c r="K20" i="2"/>
  <c r="AB98" i="2"/>
  <c r="W59" i="2"/>
  <c r="J20" i="2"/>
  <c r="V20" i="2"/>
  <c r="AC59" i="2"/>
  <c r="P59" i="2"/>
  <c r="AB59" i="2"/>
  <c r="V59" i="2"/>
  <c r="J98" i="2"/>
  <c r="Q59" i="2"/>
  <c r="W98" i="2"/>
  <c r="E20" i="2"/>
  <c r="Q20" i="2"/>
  <c r="P98" i="2"/>
  <c r="Q58" i="2" l="1"/>
  <c r="P58" i="2"/>
  <c r="K58" i="2"/>
  <c r="J58" i="2"/>
  <c r="E58" i="2"/>
  <c r="D58" i="2"/>
  <c r="K59" i="2"/>
  <c r="D59" i="2"/>
  <c r="J59" i="2"/>
  <c r="E59" i="2"/>
  <c r="D19" i="2" l="1"/>
  <c r="E19" i="2"/>
  <c r="J19" i="2"/>
  <c r="K19" i="2"/>
  <c r="P19" i="2"/>
  <c r="Q19" i="2"/>
  <c r="V19" i="2"/>
  <c r="W19" i="2"/>
  <c r="AB19" i="2"/>
  <c r="AC19" i="2"/>
  <c r="AB32" i="2"/>
  <c r="AC32" i="2"/>
  <c r="V32" i="2"/>
  <c r="W32" i="2"/>
  <c r="P32" i="2"/>
  <c r="Q32" i="2"/>
  <c r="J32" i="2"/>
  <c r="K32" i="2"/>
  <c r="D32" i="2"/>
  <c r="E32" i="2"/>
  <c r="D22" i="2" l="1"/>
  <c r="AC27" i="2"/>
  <c r="AC28" i="2"/>
  <c r="AC29" i="2"/>
  <c r="AC30" i="2"/>
  <c r="AC31" i="2"/>
  <c r="AB27" i="2"/>
  <c r="AC26" i="2"/>
  <c r="AB26" i="2"/>
  <c r="J100" i="2" l="1"/>
  <c r="V99" i="2"/>
  <c r="AB99" i="2"/>
  <c r="P100" i="2"/>
  <c r="AB28" i="2"/>
  <c r="AB100" i="2"/>
  <c r="V100" i="2"/>
  <c r="P99" i="2"/>
  <c r="J99" i="2"/>
  <c r="AB29" i="2" l="1"/>
  <c r="AB30" i="2" l="1"/>
  <c r="AB61" i="2"/>
  <c r="AB60" i="2"/>
  <c r="V30" i="2"/>
  <c r="W30" i="2"/>
  <c r="V31" i="2"/>
  <c r="W31" i="2"/>
  <c r="P30" i="2"/>
  <c r="Q30" i="2"/>
  <c r="P31" i="2"/>
  <c r="Q31" i="2"/>
  <c r="J30" i="2"/>
  <c r="K30" i="2"/>
  <c r="J31" i="2"/>
  <c r="K31" i="2"/>
  <c r="D30" i="2"/>
  <c r="E30" i="2"/>
  <c r="D31" i="2"/>
  <c r="E31" i="2"/>
  <c r="D100" i="2" l="1"/>
  <c r="D99" i="2"/>
  <c r="AB31" i="2"/>
  <c r="D27" i="2"/>
  <c r="E27" i="2"/>
  <c r="D28" i="2"/>
  <c r="E28" i="2"/>
  <c r="D29" i="2"/>
  <c r="E29" i="2"/>
  <c r="E26" i="2"/>
  <c r="D26" i="2"/>
  <c r="D21" i="2" l="1"/>
  <c r="V27" i="2"/>
  <c r="W27" i="2"/>
  <c r="V28" i="2"/>
  <c r="W28" i="2"/>
  <c r="V29" i="2"/>
  <c r="W29" i="2"/>
  <c r="W26" i="2"/>
  <c r="V26" i="2"/>
  <c r="P27" i="2"/>
  <c r="Q27" i="2"/>
  <c r="P28" i="2"/>
  <c r="Q28" i="2"/>
  <c r="P29" i="2"/>
  <c r="Q29" i="2"/>
  <c r="Q26" i="2"/>
  <c r="P26" i="2"/>
  <c r="J27" i="2"/>
  <c r="K27" i="2"/>
  <c r="J28" i="2"/>
  <c r="K28" i="2"/>
  <c r="J29" i="2"/>
  <c r="K29" i="2"/>
  <c r="K26" i="2"/>
  <c r="J26" i="2"/>
  <c r="P22" i="2" l="1"/>
  <c r="P21" i="2"/>
  <c r="J60" i="2" l="1"/>
  <c r="J61" i="2"/>
  <c r="AB22" i="2"/>
  <c r="AB21" i="2"/>
  <c r="D60" i="2"/>
  <c r="D61" i="2"/>
  <c r="P60" i="2"/>
  <c r="P61" i="2"/>
  <c r="J21" i="2"/>
  <c r="J22" i="2"/>
  <c r="V22" i="2"/>
  <c r="V21" i="2"/>
  <c r="V61" i="2"/>
  <c r="V60" i="2"/>
</calcChain>
</file>

<file path=xl/sharedStrings.xml><?xml version="1.0" encoding="utf-8"?>
<sst xmlns="http://schemas.openxmlformats.org/spreadsheetml/2006/main" count="219" uniqueCount="42">
  <si>
    <t>MelKO_Light</t>
  </si>
  <si>
    <t>MelKO_Dark</t>
  </si>
  <si>
    <t>SEM</t>
  </si>
  <si>
    <t>Retina</t>
  </si>
  <si>
    <t>Avg</t>
  </si>
  <si>
    <t>Background Firing Rate</t>
  </si>
  <si>
    <t>Background Interspike Interval</t>
  </si>
  <si>
    <t>Percent of Spikes Occurring in Bursts</t>
  </si>
  <si>
    <t>Burst Frequency</t>
  </si>
  <si>
    <t>Interburst Interval</t>
  </si>
  <si>
    <t>Burst Duration</t>
  </si>
  <si>
    <t>Spikes Per Burst</t>
  </si>
  <si>
    <t>Cell</t>
  </si>
  <si>
    <t>These cells will then get marked on each experimental population.</t>
  </si>
  <si>
    <t>Marking will make it easier to exclude invalid cells from further analysis (by deleting or filtering them out).</t>
  </si>
  <si>
    <r>
      <t xml:space="preserve">Provide the ids of </t>
    </r>
    <r>
      <rPr>
        <b/>
        <sz val="11"/>
        <color rgb="FFFF0000"/>
        <rFont val="Calibri"/>
        <family val="2"/>
        <scheme val="minor"/>
      </rPr>
      <t>INVALID</t>
    </r>
    <r>
      <rPr>
        <sz val="11"/>
        <color rgb="FFFF0000"/>
        <rFont val="Calibri"/>
        <family val="2"/>
        <scheme val="minor"/>
      </rPr>
      <t xml:space="preserve"> cells (e.g., Retina 1, Cell 23).  These can be found in the Cell_Units workbooks.</t>
    </r>
  </si>
  <si>
    <t>WT_Dark</t>
  </si>
  <si>
    <t>WT_Light</t>
  </si>
  <si>
    <t>WT_DarkRecovery</t>
  </si>
  <si>
    <t>MelKO_DarkRecovery</t>
  </si>
  <si>
    <t>PercentSpikesInBursts</t>
  </si>
  <si>
    <t>BurstFrequency</t>
  </si>
  <si>
    <t>IBI</t>
  </si>
  <si>
    <t>Wave-Associated Bursts</t>
  </si>
  <si>
    <t>BkgrdFiringRate</t>
  </si>
  <si>
    <t>BkgrdISI</t>
  </si>
  <si>
    <t>Non-Wave-Associated Bursts</t>
  </si>
  <si>
    <t>All Bursts</t>
  </si>
  <si>
    <t>Burst Firing Rate</t>
  </si>
  <si>
    <t>Burst Interspike Interval</t>
  </si>
  <si>
    <t>Percent Burst Time &gt;10 Hz</t>
  </si>
  <si>
    <t>Ratio</t>
  </si>
  <si>
    <t>% Change</t>
  </si>
  <si>
    <t>BurstDuration</t>
  </si>
  <si>
    <t>BurstFiringRate</t>
  </si>
  <si>
    <t>BurstISI</t>
  </si>
  <si>
    <t>PercentBurstTimeAbove10Hz</t>
  </si>
  <si>
    <t>SpikesPerBurst</t>
  </si>
  <si>
    <t>DTA</t>
  </si>
  <si>
    <t>Wildtype</t>
  </si>
  <si>
    <t>WT</t>
  </si>
  <si>
    <t>DTA_Dark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</si>
</sst>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6"/>
      <color rgb="FF9C6500"/>
      <name val="Calibri"/>
      <family val="2"/>
      <scheme val="minor"/>
    </font>
    <font>
      <b/>
      <sz val="16"/>
      <color rgb="FF006100"/>
      <name val="Calibri"/>
      <family val="2"/>
      <scheme val="minor"/>
    </font>
    <font>
      <b/>
      <sz val="16"/>
      <color rgb="FF9C0006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6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4">
    <xf numFmtId="0" fontId="0" fillId="0" borderId="0"/>
    <xf numFmtId="0" fontId="3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0" borderId="0" xfId="1" applyFont="1" applyFill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1" applyFont="1" applyFill="1" applyBorder="1" applyAlignment="1">
      <alignment horizontal="center" vertical="center"/>
    </xf>
    <xf numFmtId="0" fontId="0" fillId="0" borderId="0" xfId="0" applyBorder="1"/>
    <xf numFmtId="0" fontId="5" fillId="0" borderId="0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6" borderId="0" xfId="0" applyFill="1"/>
    <xf numFmtId="0" fontId="0" fillId="6" borderId="0" xfId="0" applyFill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164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9" xfId="0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9" fillId="5" borderId="0" xfId="3" applyFont="1" applyAlignment="1">
      <alignment horizontal="center" vertical="center" textRotation="90"/>
    </xf>
    <xf numFmtId="0" fontId="10" fillId="4" borderId="0" xfId="2" applyFont="1" applyAlignment="1">
      <alignment horizontal="center" vertical="center" textRotation="90"/>
    </xf>
    <xf numFmtId="0" fontId="11" fillId="3" borderId="0" xfId="1" applyFont="1" applyAlignment="1">
      <alignment horizontal="center" vertical="center" textRotation="90"/>
    </xf>
    <xf numFmtId="0" fontId="12" fillId="7" borderId="0" xfId="0" applyFont="1" applyFill="1" applyBorder="1" applyAlignment="1">
      <alignment horizontal="center" vertical="center"/>
    </xf>
    <xf numFmtId="0" fontId="9" fillId="5" borderId="0" xfId="3" applyFont="1" applyBorder="1" applyAlignment="1">
      <alignment horizontal="center" vertical="center"/>
    </xf>
    <xf numFmtId="0" fontId="10" fillId="4" borderId="0" xfId="2" applyFont="1" applyBorder="1" applyAlignment="1">
      <alignment horizontal="center" vertical="center"/>
    </xf>
    <xf numFmtId="0" fontId="11" fillId="3" borderId="0" xfId="1" applyFont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</cellXfs>
  <cellStyles count="4">
    <cellStyle name="Bad" xfId="1" builtinId="27"/>
    <cellStyle name="Good" xfId="2" builtinId="26"/>
    <cellStyle name="Neutral" xfId="3" builtinId="28"/>
    <cellStyle name="Normal" xfId="0" builtinId="0"/>
  </cellStyles>
  <dxfs count="9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6600"/>
      <color rgb="FFCCFF99"/>
      <color rgb="FF99FF66"/>
      <color rgb="FF008000"/>
      <color rgb="FFCCFFCC"/>
      <color rgb="FFFF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Figures!$C$17</c:f>
          <c:strCache>
            <c:ptCount val="1"/>
            <c:pt idx="0">
              <c:v>Background Firing Rate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Figures!$C$17</c:f>
              <c:strCache>
                <c:ptCount val="1"/>
                <c:pt idx="0">
                  <c:v>Background Firing Rate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Figures!$D$20:$F$20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Figures!$D$20:$F$20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Figures!$D$18:$F$18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Figures!$D$19:$F$19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666687904"/>
        <c:axId val="-166670041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Figures!$D$18:$F$18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Figures!$D$26:$F$26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Figures!$D$18:$F$18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Figures!$D$27:$F$27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Figures!$D$18:$F$18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Figures!$D$28:$F$28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Figures!$D$18:$F$18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Figures!$D$29:$F$29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Figures!$D$18:$F$18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Figures!$D$30:$F$30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strRef>
              <c:f>Figures!$D$18:$F$18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Figures!$D$31:$F$31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strRef>
              <c:f>Figures!$D$18:$F$18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Figures!$D$32:$F$32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66687904"/>
        <c:axId val="-1666700416"/>
      </c:lineChart>
      <c:catAx>
        <c:axId val="-166668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6700416"/>
        <c:crosses val="autoZero"/>
        <c:auto val="1"/>
        <c:lblAlgn val="ctr"/>
        <c:lblOffset val="100"/>
        <c:noMultiLvlLbl val="0"/>
      </c:catAx>
      <c:valAx>
        <c:axId val="-16667004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minute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668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Figures!$I$17</c:f>
          <c:strCache>
            <c:ptCount val="1"/>
            <c:pt idx="0">
              <c:v>Background Interspike Interval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Figures!$I$17</c:f>
              <c:strCache>
                <c:ptCount val="1"/>
                <c:pt idx="0">
                  <c:v>Background Interspike Interval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Figures!$J$20:$L$20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Figures!$J$20:$L$20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Figures!$J$18:$L$18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Figures!$J$19:$L$19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666672672"/>
        <c:axId val="-166669660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Figures!$J$18:$L$18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Figures!$J$26:$L$26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Figures!$J$18:$L$18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Figures!$J$27:$L$27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Figures!$J$18:$L$18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Figures!$J$28:$L$28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Figures!$J$18:$L$18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Figures!$J$29:$L$29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Figures!$J$18:$L$18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Figures!$J$30:$L$30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Figures!$J$18:$L$18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Figures!$J$31:$L$31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Figures!$J$18:$L$18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Figures!$J$32:$L$32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66672672"/>
        <c:axId val="-1666696608"/>
      </c:lineChart>
      <c:catAx>
        <c:axId val="-1666672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6696608"/>
        <c:crosses val="autoZero"/>
        <c:auto val="1"/>
        <c:lblAlgn val="ctr"/>
        <c:lblOffset val="100"/>
        <c:noMultiLvlLbl val="0"/>
      </c:catAx>
      <c:valAx>
        <c:axId val="-16666966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6672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Figures!$O$17</c:f>
          <c:strCache>
            <c:ptCount val="1"/>
            <c:pt idx="0">
              <c:v>Percent of Spikes Occurring in Bursts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Figures!$O$17</c:f>
              <c:strCache>
                <c:ptCount val="1"/>
                <c:pt idx="0">
                  <c:v>Percent of Spikes Occurring in Bursts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Figures!$P$20:$R$20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Figures!$P$20:$R$20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Figures!$AB$18:$AD$18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Figures!$P$19:$R$19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666690624"/>
        <c:axId val="-1666683552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Figures!$P$18:$R$18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Figures!$P$26:$R$26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Figures!$P$18:$R$18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Figures!$P$27:$R$27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Figures!$P$18:$R$18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Figures!$P$28:$R$28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Figures!$P$18:$R$18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Figures!$P$29:$R$29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Figures!$P$18:$R$18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Figures!$P$30:$R$30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Figures!$P$18:$R$18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Figures!$P$31:$R$31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Figures!$P$18:$R$18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Figures!$P$32:$R$32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66690624"/>
        <c:axId val="-1666683552"/>
      </c:lineChart>
      <c:catAx>
        <c:axId val="-1666690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6683552"/>
        <c:crosses val="autoZero"/>
        <c:auto val="1"/>
        <c:lblAlgn val="ctr"/>
        <c:lblOffset val="100"/>
        <c:noMultiLvlLbl val="0"/>
      </c:catAx>
      <c:valAx>
        <c:axId val="-16666835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6690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Figures!$U$17</c:f>
          <c:strCache>
            <c:ptCount val="1"/>
            <c:pt idx="0">
              <c:v>Burst Frequency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Figures!$U$17</c:f>
              <c:strCache>
                <c:ptCount val="1"/>
                <c:pt idx="0">
                  <c:v>Burst Frequency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Figures!$V$20:$X$20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Figures!$V$20:$X$20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Figures!$P$18:$R$18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Figures!$V$19:$X$19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666681920"/>
        <c:axId val="-166666886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Figures!$V$18:$X$18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Figures!$V$26:$X$26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Figures!$V$18:$X$18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Figures!$V$27:$X$27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Figures!$V$18:$X$18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Figures!$V$28:$X$28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Figures!$V$18:$X$18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Figures!$V$29:$X$29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Figures!$V$18:$X$18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Figures!$V$30:$X$30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Figures!$V$18:$X$18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Figures!$V$31:$X$31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Figures!$V$18:$X$18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Figures!$V$32:$X$32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66681920"/>
        <c:axId val="-1666668864"/>
      </c:lineChart>
      <c:catAx>
        <c:axId val="-166668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6668864"/>
        <c:crosses val="autoZero"/>
        <c:auto val="1"/>
        <c:lblAlgn val="ctr"/>
        <c:lblOffset val="100"/>
        <c:noMultiLvlLbl val="0"/>
      </c:catAx>
      <c:valAx>
        <c:axId val="-16666688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Bursts</a:t>
                </a:r>
                <a:r>
                  <a:rPr lang="en-US" sz="1200" b="1" baseline="0">
                    <a:solidFill>
                      <a:schemeClr val="tx1"/>
                    </a:solidFill>
                  </a:rPr>
                  <a:t> / minute</a:t>
                </a:r>
                <a:endParaRPr lang="en-US" sz="1200" b="1">
                  <a:solidFill>
                    <a:schemeClr val="tx1"/>
                  </a:solidFill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668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Figures!$AA$17</c:f>
          <c:strCache>
            <c:ptCount val="1"/>
            <c:pt idx="0">
              <c:v>Interburst Interval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Figures!$AA$17</c:f>
              <c:strCache>
                <c:ptCount val="1"/>
                <c:pt idx="0">
                  <c:v>Interburst Interval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Figures!$AB$20:$AD$20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Figures!$AB$20:$AD$20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Figures!$V$18:$X$18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Figures!$AB$19:$AD$19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666679744"/>
        <c:axId val="-166669334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Figures!$AB$18:$AD$18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Figures!$AB$26:$AD$26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Figures!$AB$18:$AD$18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Figures!$AB$27:$AD$27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Figures!$AB$18:$AD$18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Figures!$AB$28:$AD$28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Figures!$AB$18:$AD$18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Figures!$AB$29:$AD$29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Figures!$AB$18:$AD$18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Figures!$AB$30:$AD$30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Figures!$AB$18:$AD$18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Figures!$AB$31:$AD$31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Figures!$AB$18:$AD$18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Figures!$AB$32:$AD$32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66679744"/>
        <c:axId val="-1666693344"/>
      </c:lineChart>
      <c:catAx>
        <c:axId val="-1666679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6693344"/>
        <c:crosses val="autoZero"/>
        <c:auto val="1"/>
        <c:lblAlgn val="ctr"/>
        <c:lblOffset val="100"/>
        <c:noMultiLvlLbl val="0"/>
      </c:catAx>
      <c:valAx>
        <c:axId val="-16666933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667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Figures!$C$56:$F$56</c:f>
          <c:strCache>
            <c:ptCount val="4"/>
            <c:pt idx="0">
              <c:v>Burst Duration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Figures!$C$56:$F$56</c:f>
              <c:strCache>
                <c:ptCount val="4"/>
                <c:pt idx="0">
                  <c:v>Burst Duration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Figures!$D$59:$F$59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Figures!$D$59:$F$59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Figures!$D$57:$F$57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Figures!$D$58:$F$58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666674848"/>
        <c:axId val="-166668572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Figures!$D$57:$F$57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Figures!$D$65:$F$65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Figures!$D$57:$F$57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Figures!$D$66:$F$66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Figures!$D$57:$F$57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Figures!$D$67:$F$67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Figures!$D$57:$F$57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Figures!$D$68:$F$68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Figures!$D$57:$F$57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Figures!$D$69:$F$69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Figures!$D$57:$F$57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Figures!$D$70:$F$70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Figures!$D$57:$F$57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Figures!$D$71:$F$71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66674848"/>
        <c:axId val="-1666685728"/>
      </c:lineChart>
      <c:catAx>
        <c:axId val="-1666674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6685728"/>
        <c:crosses val="autoZero"/>
        <c:auto val="1"/>
        <c:lblAlgn val="ctr"/>
        <c:lblOffset val="100"/>
        <c:noMultiLvlLbl val="0"/>
      </c:catAx>
      <c:valAx>
        <c:axId val="-16666857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6674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Figures!$I$56:$L$56</c:f>
          <c:strCache>
            <c:ptCount val="4"/>
            <c:pt idx="0">
              <c:v>Burst Firing Rate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Figures!$I$56</c:f>
              <c:strCache>
                <c:ptCount val="1"/>
                <c:pt idx="0">
                  <c:v>Burst Firing Rate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Figures!$J$59:$L$59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Figures!$J$59:$L$59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Figures!$J$57:$L$57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Figures!$J$58:$L$58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666692256"/>
        <c:axId val="-166669932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Figures!$J$57:$L$57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Figures!$J$65:$L$65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Figures!$J$57:$L$57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Figures!$J$66:$L$66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Figures!$J$57:$L$57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Figures!$J$67:$L$67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Figures!$J$57:$L$57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Figures!$J$68:$L$68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Figures!$J$57:$L$57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Figures!$J$69:$L$69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Figures!$J$57:$L$57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Figures!$J$70:$L$70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Figures!$J$57:$L$57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Figures!$J$71:$L$71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66692256"/>
        <c:axId val="-1666699328"/>
      </c:lineChart>
      <c:catAx>
        <c:axId val="-166669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6699328"/>
        <c:crosses val="autoZero"/>
        <c:auto val="1"/>
        <c:lblAlgn val="ctr"/>
        <c:lblOffset val="100"/>
        <c:noMultiLvlLbl val="0"/>
      </c:catAx>
      <c:valAx>
        <c:axId val="-16666993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Second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669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Figures!$O$56:$R$56</c:f>
          <c:strCache>
            <c:ptCount val="4"/>
            <c:pt idx="0">
              <c:v>Burst Interspike Interval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Figures!$O$56</c:f>
              <c:strCache>
                <c:ptCount val="1"/>
                <c:pt idx="0">
                  <c:v>Burst Interspike Interval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Figures!$P$59:$R$59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Figures!$P$59:$R$59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Figures!$P$57:$R$57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Figures!$P$58:$R$58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666671040"/>
        <c:axId val="-1666676480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Figures!$P$57:$R$57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Figures!$P$65:$R$65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Figures!$P$57:$R$57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Figures!$P$66:$R$66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Figures!$P$57:$R$57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Figures!$P$67:$R$67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Figures!$P$57:$R$57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Figures!$P$68:$R$68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Figures!$P$57:$R$57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Figures!$P$69:$R$69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Figures!$P$57:$R$57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Figures!$P$70:$R$70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Figures!$P$57:$R$57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Figures!$P$58:$R$58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66671040"/>
        <c:axId val="-1666676480"/>
      </c:lineChart>
      <c:catAx>
        <c:axId val="-166667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6676480"/>
        <c:crosses val="autoZero"/>
        <c:auto val="1"/>
        <c:lblAlgn val="ctr"/>
        <c:lblOffset val="100"/>
        <c:noMultiLvlLbl val="0"/>
      </c:catAx>
      <c:valAx>
        <c:axId val="-166667648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667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Figures!$U$56:$X$56</c:f>
          <c:strCache>
            <c:ptCount val="4"/>
            <c:pt idx="0">
              <c:v>Percent Burst Time &gt;10 Hz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Figures!$U$56</c:f>
              <c:strCache>
                <c:ptCount val="1"/>
                <c:pt idx="0">
                  <c:v>Percent Burst Time &gt;10 Hz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Figures!$V$59:$X$59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Figures!$V$59:$X$59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Figures!$V$57:$X$57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Figures!$V$58:$X$58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666675936"/>
        <c:axId val="-166669497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Figures!$V$57:$X$57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Figures!$V$65:$X$65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Figures!$V$57:$X$57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Figures!$V$66:$X$66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Figures!$V$57:$X$57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Figures!$V$67:$X$67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Figures!$V$57:$X$57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Figures!$V$68:$X$68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Figures!$V$57:$X$57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Figures!$V$69:$X$69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Figures!$V$57:$X$57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Figures!$V$70:$X$70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Figures!$V$57:$X$57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Figures!$V$58:$X$58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66675936"/>
        <c:axId val="-1666694976"/>
      </c:lineChart>
      <c:catAx>
        <c:axId val="-1666675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6694976"/>
        <c:crosses val="autoZero"/>
        <c:auto val="1"/>
        <c:lblAlgn val="ctr"/>
        <c:lblOffset val="100"/>
        <c:noMultiLvlLbl val="0"/>
      </c:catAx>
      <c:valAx>
        <c:axId val="-16666949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6675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Figures!$AA$56:$AD$56</c:f>
          <c:strCache>
            <c:ptCount val="4"/>
            <c:pt idx="0">
              <c:v>Spikes Per Burst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Figures!$AA$56</c:f>
              <c:strCache>
                <c:ptCount val="1"/>
                <c:pt idx="0">
                  <c:v>Spikes Per Burst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Figures!$AB$59:$AD$59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Figures!$AB$59:$AD$59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Figures!$AB$57:$AD$57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Figures!$AB$58:$AD$58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666670496"/>
        <c:axId val="-1666694432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Figures!$AB$57:$AD$57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Figures!$AB$65:$AD$65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Figures!$AB$57:$AD$57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Figures!$AB$66:$AD$66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Figures!$AB$57:$AD$57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Figures!$AB$67:$AD$67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Figures!$AB$57:$AD$57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Figures!$AB$68:$AD$68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Figures!$AB$57:$AD$57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Figures!$AB$69:$AD$69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Figures!$AB$57:$AD$57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Figures!$AB$70:$AD$70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Figures!$AB$57:$AD$57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Figures!$AB$71:$AD$71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66670496"/>
        <c:axId val="-1666694432"/>
      </c:lineChart>
      <c:catAx>
        <c:axId val="-1666670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6694432"/>
        <c:crosses val="autoZero"/>
        <c:auto val="1"/>
        <c:lblAlgn val="ctr"/>
        <c:lblOffset val="100"/>
        <c:noMultiLvlLbl val="0"/>
      </c:catAx>
      <c:valAx>
        <c:axId val="-16666944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Spikes / Burst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667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Figures!$C$95:$F$95</c:f>
          <c:strCache>
            <c:ptCount val="4"/>
            <c:pt idx="0">
              <c:v>Burst Duration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Figures!$C$95</c:f>
              <c:strCache>
                <c:ptCount val="1"/>
                <c:pt idx="0">
                  <c:v>Burst Duration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Figures!$D$98:$F$98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Figures!$D$98:$F$98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Figures!$D$96:$F$96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Figures!$D$97:$F$97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666693888"/>
        <c:axId val="-1666698240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Figures!$D$96:$F$96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Figures!$D$104:$F$104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Figures!$D$96:$F$96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Figures!$D$105:$F$105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Figures!$D$96:$F$96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Figures!$D$106:$F$106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Figures!$D$96:$F$96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Figures!$D$107:$F$107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Figures!$D$96:$F$96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Figures!$D$108:$F$108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Figures!$D$96:$F$96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Figures!$D$109:$F$109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Figures!$D$96:$F$96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Figures!$D$110:$F$110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66693888"/>
        <c:axId val="-1666698240"/>
      </c:lineChart>
      <c:catAx>
        <c:axId val="-1666693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6698240"/>
        <c:crosses val="autoZero"/>
        <c:auto val="1"/>
        <c:lblAlgn val="ctr"/>
        <c:lblOffset val="100"/>
        <c:noMultiLvlLbl val="0"/>
      </c:catAx>
      <c:valAx>
        <c:axId val="-166669824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6693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Figures!$I$95:$L$95</c:f>
          <c:strCache>
            <c:ptCount val="4"/>
            <c:pt idx="0">
              <c:v>Burst Firing Rate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Figures!$I$95</c:f>
              <c:strCache>
                <c:ptCount val="1"/>
                <c:pt idx="0">
                  <c:v>Burst Firing Rate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Figures!$J$98:$L$98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Figures!$J$98:$L$98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Figures!$J$96:$L$96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Figures!$J$97:$L$97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666697696"/>
        <c:axId val="-166668518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Figures!$J$96:$L$96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Figures!$J$104:$L$104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Figures!$J$96:$L$96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Figures!$J$105:$L$105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Figures!$J$96:$L$96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Figures!$J$106:$L$106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Figures!$J$96:$L$96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Figures!$J$107:$L$107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Figures!$J$96:$L$96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Figures!$J$108:$L$108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Figures!$J$96:$L$96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Figures!$J$109:$L$109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Figures!$J$96:$L$96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Figures!$J$110:$L$110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66697696"/>
        <c:axId val="-1666685184"/>
      </c:lineChart>
      <c:catAx>
        <c:axId val="-1666697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6685184"/>
        <c:crosses val="autoZero"/>
        <c:auto val="1"/>
        <c:lblAlgn val="ctr"/>
        <c:lblOffset val="100"/>
        <c:noMultiLvlLbl val="0"/>
      </c:catAx>
      <c:valAx>
        <c:axId val="-166668518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Second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6697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Figures!$O$95:$R$95</c:f>
          <c:strCache>
            <c:ptCount val="4"/>
            <c:pt idx="0">
              <c:v>Burst Interspike Interval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Figures!$O$95</c:f>
              <c:strCache>
                <c:ptCount val="1"/>
                <c:pt idx="0">
                  <c:v>Burst Interspike Interval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Figures!$P$98:$R$98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Figures!$P$98:$R$98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Figures!$P$96:$R$96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Figures!$P$97:$R$97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666689536"/>
        <c:axId val="-1666688992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Figures!$P$96:$R$96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Figures!$P$104:$R$104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Figures!$P$96:$R$96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Figures!$P$105:$R$105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Figures!$P$96:$R$96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Figures!$P$106:$R$106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Figures!$P$96:$R$96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Figures!$P$107:$R$107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Figures!$P$96:$R$96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Figures!$P$108:$R$108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Figures!$P$96:$R$96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Figures!$P$109:$R$109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Figures!$P$96:$R$96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Figures!$P$110:$R$110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66689536"/>
        <c:axId val="-1666688992"/>
      </c:lineChart>
      <c:catAx>
        <c:axId val="-166668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6688992"/>
        <c:crosses val="autoZero"/>
        <c:auto val="1"/>
        <c:lblAlgn val="ctr"/>
        <c:lblOffset val="100"/>
        <c:noMultiLvlLbl val="0"/>
      </c:catAx>
      <c:valAx>
        <c:axId val="-1666688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6689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Figures!$U$95:$X$95</c:f>
          <c:strCache>
            <c:ptCount val="4"/>
            <c:pt idx="0">
              <c:v>Percent Burst Time &gt;10 Hz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Figures!$U$95</c:f>
              <c:strCache>
                <c:ptCount val="1"/>
                <c:pt idx="0">
                  <c:v>Percent Burst Time &gt;10 Hz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Figures!$V$98:$X$98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Figures!$V$98:$X$98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Figures!$V$96:$X$96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Figures!$V$97:$X$97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666687360"/>
        <c:axId val="-5465521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Figures!$V$96:$X$96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Figures!$V$104:$X$104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Figures!$V$96:$X$96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Figures!$V$105:$X$105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Figures!$V$96:$X$96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Figures!$V$106:$X$106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Figures!$V$96:$X$96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Figures!$V$107:$X$107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Figures!$V$96:$X$96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Figures!$V$108:$X$108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Figures!$V$96:$X$96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Figures!$V$109:$X$109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Figures!$V$96:$X$96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Figures!$V$110:$X$110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66687360"/>
        <c:axId val="-54655216"/>
      </c:lineChart>
      <c:catAx>
        <c:axId val="-1666687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655216"/>
        <c:crosses val="autoZero"/>
        <c:auto val="1"/>
        <c:lblAlgn val="ctr"/>
        <c:lblOffset val="100"/>
        <c:noMultiLvlLbl val="0"/>
      </c:catAx>
      <c:valAx>
        <c:axId val="-546552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</a:t>
                </a:r>
                <a:r>
                  <a:rPr lang="en-US" sz="1200" b="1" baseline="0">
                    <a:solidFill>
                      <a:schemeClr val="tx1"/>
                    </a:solidFill>
                  </a:rPr>
                  <a:t>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6687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Figures!$AA$95:$AD$95</c:f>
          <c:strCache>
            <c:ptCount val="4"/>
            <c:pt idx="0">
              <c:v>Spikes Per Burst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Figures!$AA$95</c:f>
              <c:strCache>
                <c:ptCount val="1"/>
                <c:pt idx="0">
                  <c:v>Spikes Per Burst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Figures!$AB$98:$AD$98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Figures!$AB$98:$AD$98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Figures!$AB$96:$AD$96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Figures!$AB$97:$AD$97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54649232"/>
        <c:axId val="-54654672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Figures!$AB$96:$AD$96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Figures!$AB$104:$AD$104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Figures!$AB$96:$AD$96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Figures!$AB$105:$AD$105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Figures!$AB$96:$AD$96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Figures!$AB$106:$AD$106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Figures!$AB$96:$AD$96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Figures!$AB$107:$AD$107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Figures!$AB$96:$AD$96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Figures!$AB$108:$AD$108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Figures!$AB$96:$AD$96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Figures!$AB$109:$AD$109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Figures!$AB$96:$AD$96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Figures!$AB$110:$AD$110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649232"/>
        <c:axId val="-54654672"/>
      </c:lineChart>
      <c:catAx>
        <c:axId val="-5464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654672"/>
        <c:crosses val="autoZero"/>
        <c:auto val="1"/>
        <c:lblAlgn val="ctr"/>
        <c:lblOffset val="100"/>
        <c:noMultiLvlLbl val="0"/>
      </c:catAx>
      <c:valAx>
        <c:axId val="-5465467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Spikes / Burst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64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Mark Invalid Cells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</xdr:rowOff>
    </xdr:from>
    <xdr:to>
      <xdr:col>7</xdr:col>
      <xdr:colOff>0</xdr:colOff>
      <xdr:row>14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13</xdr:col>
      <xdr:colOff>0</xdr:colOff>
      <xdr:row>14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609598</xdr:colOff>
      <xdr:row>0</xdr:row>
      <xdr:rowOff>0</xdr:rowOff>
    </xdr:from>
    <xdr:to>
      <xdr:col>18</xdr:col>
      <xdr:colOff>609599</xdr:colOff>
      <xdr:row>14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0</xdr:row>
      <xdr:rowOff>0</xdr:rowOff>
    </xdr:from>
    <xdr:to>
      <xdr:col>25</xdr:col>
      <xdr:colOff>0</xdr:colOff>
      <xdr:row>14</xdr:row>
      <xdr:rowOff>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0</xdr:colOff>
      <xdr:row>14</xdr:row>
      <xdr:rowOff>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38</xdr:row>
      <xdr:rowOff>0</xdr:rowOff>
    </xdr:from>
    <xdr:to>
      <xdr:col>7</xdr:col>
      <xdr:colOff>0</xdr:colOff>
      <xdr:row>52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37</xdr:row>
      <xdr:rowOff>0</xdr:rowOff>
    </xdr:from>
    <xdr:to>
      <xdr:col>13</xdr:col>
      <xdr:colOff>0</xdr:colOff>
      <xdr:row>52</xdr:row>
      <xdr:rowOff>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1</xdr:colOff>
      <xdr:row>36</xdr:row>
      <xdr:rowOff>0</xdr:rowOff>
    </xdr:from>
    <xdr:to>
      <xdr:col>19</xdr:col>
      <xdr:colOff>9525</xdr:colOff>
      <xdr:row>51</xdr:row>
      <xdr:rowOff>190499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1</xdr:colOff>
      <xdr:row>36</xdr:row>
      <xdr:rowOff>0</xdr:rowOff>
    </xdr:from>
    <xdr:to>
      <xdr:col>25</xdr:col>
      <xdr:colOff>1</xdr:colOff>
      <xdr:row>52</xdr:row>
      <xdr:rowOff>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25</xdr:col>
      <xdr:colOff>581025</xdr:colOff>
      <xdr:row>36</xdr:row>
      <xdr:rowOff>0</xdr:rowOff>
    </xdr:from>
    <xdr:to>
      <xdr:col>31</xdr:col>
      <xdr:colOff>0</xdr:colOff>
      <xdr:row>51</xdr:row>
      <xdr:rowOff>190499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77</xdr:row>
      <xdr:rowOff>0</xdr:rowOff>
    </xdr:from>
    <xdr:to>
      <xdr:col>7</xdr:col>
      <xdr:colOff>0</xdr:colOff>
      <xdr:row>91</xdr:row>
      <xdr:rowOff>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0</xdr:colOff>
      <xdr:row>76</xdr:row>
      <xdr:rowOff>0</xdr:rowOff>
    </xdr:from>
    <xdr:to>
      <xdr:col>13</xdr:col>
      <xdr:colOff>0</xdr:colOff>
      <xdr:row>91</xdr:row>
      <xdr:rowOff>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</xdr:colOff>
      <xdr:row>75</xdr:row>
      <xdr:rowOff>0</xdr:rowOff>
    </xdr:from>
    <xdr:to>
      <xdr:col>19</xdr:col>
      <xdr:colOff>9525</xdr:colOff>
      <xdr:row>90</xdr:row>
      <xdr:rowOff>190499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20</xdr:col>
      <xdr:colOff>1</xdr:colOff>
      <xdr:row>75</xdr:row>
      <xdr:rowOff>0</xdr:rowOff>
    </xdr:from>
    <xdr:to>
      <xdr:col>25</xdr:col>
      <xdr:colOff>1</xdr:colOff>
      <xdr:row>91</xdr:row>
      <xdr:rowOff>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25</xdr:col>
      <xdr:colOff>581025</xdr:colOff>
      <xdr:row>75</xdr:row>
      <xdr:rowOff>0</xdr:rowOff>
    </xdr:from>
    <xdr:to>
      <xdr:col>31</xdr:col>
      <xdr:colOff>0</xdr:colOff>
      <xdr:row>90</xdr:row>
      <xdr:rowOff>190499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G8" totalsRowShown="0" headerRowDxfId="97" dataDxfId="96">
  <autoFilter ref="A1:G8"/>
  <tableColumns count="7">
    <tableColumn id="1" name="Retina" dataDxfId="95"/>
    <tableColumn id="2" name="MelKO_Dark" dataDxfId="94"/>
    <tableColumn id="3" name="MelKO_Light" dataDxfId="93"/>
    <tableColumn id="4" name="MelKO_DarkRecovery" dataDxfId="92"/>
    <tableColumn id="5" name="WT_Dark" dataDxfId="91"/>
    <tableColumn id="6" name="WT_Light" dataDxfId="90"/>
    <tableColumn id="7" name="WT_DarkRecovery" dataDxfId="8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WT_Dark_All" displayName="WT_Dark_All" ref="A2:G3" headerRowDxfId="84" dataDxfId="83" totalsRowDxfId="82">
  <autoFilter ref="A2:G3"/>
  <tableColumns count="7">
    <tableColumn id="11" name="Retina" totalsRowLabel="Total" dataDxfId="81" totalsRowDxfId="80"/>
    <tableColumn id="1" name="Cell" totalsRowFunction="count" dataDxfId="79"/>
    <tableColumn id="2" name="BkgrdFiringRate" totalsRowFunction="average" dataDxfId="78"/>
    <tableColumn id="3" name="BkgrdISI" totalsRowFunction="average" dataDxfId="77"/>
    <tableColumn id="4" name="PercentSpikesInBursts" totalsRowFunction="average" dataDxfId="76"/>
    <tableColumn id="5" name="BurstFrequency" totalsRowFunction="average" dataDxfId="75"/>
    <tableColumn id="6" name="IBI" totalsRowFunction="average" dataDxfId="7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WT_Dark_WABs" displayName="WT_Dark_WABs" ref="A2:G3" headerRowDxfId="73" dataDxfId="72" totalsRowDxfId="71">
  <autoFilter ref="A2:G3"/>
  <tableColumns count="7">
    <tableColumn id="11" name="Retina" totalsRowLabel="Total" dataDxfId="70" totalsRowDxfId="69"/>
    <tableColumn id="1" name="Cell" totalsRowFunction="count" dataDxfId="68"/>
    <tableColumn id="20" name="BurstDuration" dataDxfId="67"/>
    <tableColumn id="21" name="BurstFiringRate" dataDxfId="66"/>
    <tableColumn id="23" name="BurstISI" dataDxfId="65"/>
    <tableColumn id="22" name="PercentBurstTimeAbove10Hz" dataDxfId="64"/>
    <tableColumn id="24" name="SpikesPerBurst" dataDxfId="6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WT_Dark_NonWABs" displayName="WT_Dark_NonWABs" ref="A2:G3" headerRowDxfId="62" dataDxfId="61" totalsRowDxfId="60">
  <autoFilter ref="A2:G3"/>
  <tableColumns count="7">
    <tableColumn id="11" name="Retina" totalsRowLabel="Total" dataDxfId="59" totalsRowDxfId="58"/>
    <tableColumn id="1" name="Cell" totalsRowFunction="count" dataDxfId="57"/>
    <tableColumn id="25" name="BurstDuration" dataDxfId="56" totalsRowDxfId="55"/>
    <tableColumn id="26" name="BurstFiringRate" dataDxfId="54" totalsRowDxfId="53"/>
    <tableColumn id="28" name="BurstISI" dataDxfId="52" totalsRowDxfId="51"/>
    <tableColumn id="27" name="PercentBurstTimeAbove10Hz" dataDxfId="50" totalsRowDxfId="49"/>
    <tableColumn id="29" name="SpikesPerBurst" dataDxfId="48" totalsRowDxfId="4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DTA_Dark_All" displayName="DTA_Dark_All" ref="A2:G3" headerRowDxfId="46" dataDxfId="45">
  <autoFilter ref="A2:G3"/>
  <tableColumns count="7">
    <tableColumn id="11" name="Retina" totalsRowLabel="Total" dataDxfId="44" totalsRowDxfId="43"/>
    <tableColumn id="1" name="Cell" dataDxfId="42" totalsRowDxfId="41"/>
    <tableColumn id="2" name="BkgrdFiringRate" totalsRowFunction="average" dataDxfId="40" totalsRowDxfId="39"/>
    <tableColumn id="3" name="BkgrdISI" totalsRowFunction="average" dataDxfId="38" totalsRowDxfId="37"/>
    <tableColumn id="4" name="PercentSpikesInBursts" totalsRowFunction="average" dataDxfId="36" totalsRowDxfId="35"/>
    <tableColumn id="5" name="BurstFrequency" totalsRowFunction="average" dataDxfId="34" totalsRowDxfId="33"/>
    <tableColumn id="6" name="IBI" totalsRowFunction="average" dataDxfId="3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DTA_Dark_WABs" displayName="DTA_Dark_WABs" ref="A2:G3" headerRowDxfId="31" dataDxfId="30">
  <autoFilter ref="A2:G3"/>
  <tableColumns count="7">
    <tableColumn id="11" name="Retina" totalsRowLabel="Total" dataDxfId="29" totalsRowDxfId="28"/>
    <tableColumn id="1" name="Cell" dataDxfId="27" totalsRowDxfId="26"/>
    <tableColumn id="7" name="BurstDuration" totalsRowFunction="average" dataDxfId="25" totalsRowDxfId="24"/>
    <tableColumn id="8" name="BurstFiringRate" totalsRowFunction="average" dataDxfId="23" totalsRowDxfId="22"/>
    <tableColumn id="10" name="BurstISI" totalsRowFunction="average" dataDxfId="21" totalsRowDxfId="20"/>
    <tableColumn id="9" name="PercentBurstTimeAbove10Hz" totalsRowFunction="average" dataDxfId="19" totalsRowDxfId="18"/>
    <tableColumn id="12" name="SpikesPerBurst" dataDxfId="17" totalsRowDxfId="1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1" name="DTA_Dark_NonWABs" displayName="DTA_Dark_NonWABs" ref="A2:G3" headerRowDxfId="15" dataDxfId="14">
  <autoFilter ref="A2:G3"/>
  <tableColumns count="7">
    <tableColumn id="11" name="Retina" totalsRowLabel="Total" dataDxfId="13" totalsRowDxfId="12"/>
    <tableColumn id="1" name="Cell" dataDxfId="11" totalsRowDxfId="10"/>
    <tableColumn id="13" name="BurstDuration" dataDxfId="9" totalsRowDxfId="8"/>
    <tableColumn id="14" name="BurstFiringRate" dataDxfId="7" totalsRowDxfId="6"/>
    <tableColumn id="16" name="BurstISI" dataDxfId="5" totalsRowDxfId="4"/>
    <tableColumn id="15" name="PercentBurstTimeAbove10Hz" dataDxfId="3" totalsRowDxfId="2"/>
    <tableColumn id="17" name="SpikesPerBurst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8"/>
  <sheetViews>
    <sheetView workbookViewId="0"/>
  </sheetViews>
  <sheetFormatPr defaultRowHeight="15" x14ac:dyDescent="0.25"/>
  <cols>
    <col min="1" max="1" width="9" style="16" bestFit="1" customWidth="1"/>
    <col min="2" max="2" width="14.42578125" style="16" bestFit="1" customWidth="1"/>
    <col min="3" max="3" width="14.7109375" style="16" bestFit="1" customWidth="1"/>
    <col min="4" max="4" width="22.85546875" style="16" bestFit="1" customWidth="1"/>
    <col min="5" max="5" width="40.5703125" style="16" bestFit="1" customWidth="1"/>
    <col min="6" max="6" width="40.7109375" style="16" bestFit="1" customWidth="1"/>
    <col min="7" max="7" width="44.5703125" style="16" bestFit="1" customWidth="1"/>
    <col min="8" max="16384" width="9.140625" style="16"/>
  </cols>
  <sheetData>
    <row r="1" spans="1:7" x14ac:dyDescent="0.25">
      <c r="A1" s="16" t="s">
        <v>3</v>
      </c>
      <c r="B1" s="16" t="s">
        <v>1</v>
      </c>
      <c r="C1" s="16" t="s">
        <v>0</v>
      </c>
      <c r="D1" s="16" t="s">
        <v>19</v>
      </c>
      <c r="E1" s="16" t="s">
        <v>16</v>
      </c>
      <c r="F1" s="16" t="s">
        <v>17</v>
      </c>
      <c r="G1" s="16" t="s">
        <v>18</v>
      </c>
    </row>
    <row r="2" spans="1:7" x14ac:dyDescent="0.25">
      <c r="A2" s="1">
        <v>1</v>
      </c>
    </row>
    <row r="3" spans="1:7" x14ac:dyDescent="0.25">
      <c r="A3" s="1">
        <v>2</v>
      </c>
    </row>
    <row r="4" spans="1:7" x14ac:dyDescent="0.25">
      <c r="A4" s="1">
        <v>3</v>
      </c>
    </row>
    <row r="5" spans="1:7" x14ac:dyDescent="0.25">
      <c r="A5" s="1">
        <v>4</v>
      </c>
    </row>
    <row r="6" spans="1:7" x14ac:dyDescent="0.25">
      <c r="A6" s="1">
        <v>5</v>
      </c>
    </row>
    <row r="7" spans="1:7" x14ac:dyDescent="0.25">
      <c r="A7" s="1">
        <v>6</v>
      </c>
    </row>
    <row r="8" spans="1:7" x14ac:dyDescent="0.25">
      <c r="A8" s="1">
        <v>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3"/>
  <sheetViews>
    <sheetView workbookViewId="0"/>
  </sheetViews>
  <sheetFormatPr defaultRowHeight="15" x14ac:dyDescent="0.25"/>
  <cols>
    <col min="12" max="12" width="12.85546875" bestFit="1" customWidth="1"/>
  </cols>
  <sheetData>
    <row r="1" spans="1:15" x14ac:dyDescent="0.25">
      <c r="A1" s="19" t="s">
        <v>15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1:15" x14ac:dyDescent="0.25">
      <c r="A2" s="19" t="s">
        <v>13</v>
      </c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1:15" x14ac:dyDescent="0.25">
      <c r="A3" s="19" t="s">
        <v>14</v>
      </c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1:15" x14ac:dyDescent="0.25">
      <c r="A4" s="19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1:15" x14ac:dyDescent="0.25">
      <c r="A5" s="13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</row>
    <row r="6" spans="1:15" x14ac:dyDescent="0.25">
      <c r="A6" s="10" t="s">
        <v>3</v>
      </c>
      <c r="B6" s="10" t="s">
        <v>12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</row>
    <row r="7" spans="1:15" x14ac:dyDescent="0.25">
      <c r="A7" s="17"/>
      <c r="B7" s="18"/>
      <c r="C7" s="17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</row>
    <row r="8" spans="1:15" x14ac:dyDescent="0.25">
      <c r="A8" s="17"/>
      <c r="B8" s="18"/>
      <c r="C8" s="17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</row>
    <row r="9" spans="1:15" x14ac:dyDescent="0.25">
      <c r="A9" s="17"/>
      <c r="B9" s="18"/>
      <c r="C9" s="12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</row>
    <row r="10" spans="1:15" x14ac:dyDescent="0.25">
      <c r="A10" s="17"/>
      <c r="B10" s="18"/>
      <c r="C10" s="17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</row>
    <row r="11" spans="1:15" x14ac:dyDescent="0.25">
      <c r="A11" s="17"/>
      <c r="B11" s="18"/>
      <c r="C11" s="17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</row>
    <row r="12" spans="1:15" x14ac:dyDescent="0.25">
      <c r="A12" s="17"/>
      <c r="B12" s="18"/>
      <c r="C12" s="17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</row>
    <row r="13" spans="1:15" x14ac:dyDescent="0.25">
      <c r="A13" s="17"/>
      <c r="B13" s="18"/>
      <c r="C13" s="12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</row>
  </sheetData>
  <conditionalFormatting sqref="A13">
    <cfRule type="containsText" dxfId="88" priority="3" operator="containsText" text="dk">
      <formula>NOT(ISERROR(SEARCH("dk",A13)))</formula>
    </cfRule>
    <cfRule type="containsText" dxfId="87" priority="4" operator="containsText" text="k">
      <formula>NOT(ISERROR(SEARCH("k",A13)))</formula>
    </cfRule>
  </conditionalFormatting>
  <conditionalFormatting sqref="A7:A12">
    <cfRule type="containsText" dxfId="86" priority="1" operator="containsText" text="dk">
      <formula>NOT(ISERROR(SEARCH("dk",A7)))</formula>
    </cfRule>
    <cfRule type="containsText" dxfId="85" priority="2" operator="containsText" text="k">
      <formula>NOT(ISERROR(SEARCH("k",A7)))</formula>
    </cfRule>
  </conditionalFormatting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markInvalidCells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110"/>
  <sheetViews>
    <sheetView tabSelected="1" workbookViewId="0">
      <selection sqref="A1:A31"/>
    </sheetView>
  </sheetViews>
  <sheetFormatPr defaultRowHeight="15" x14ac:dyDescent="0.25"/>
  <cols>
    <col min="1" max="1" width="8.42578125" customWidth="1"/>
    <col min="3" max="3" width="11.28515625" style="1" bestFit="1" customWidth="1"/>
    <col min="4" max="4" width="8.85546875" style="1" bestFit="1" customWidth="1"/>
    <col min="5" max="5" width="9.140625" style="1" customWidth="1"/>
    <col min="6" max="6" width="17.28515625" style="1" bestFit="1" customWidth="1"/>
    <col min="7" max="8" width="9.140625" style="1" customWidth="1"/>
    <col min="9" max="9" width="11.28515625" style="1" bestFit="1" customWidth="1"/>
    <col min="10" max="10" width="8.85546875" bestFit="1" customWidth="1"/>
    <col min="12" max="12" width="17.28515625" bestFit="1" customWidth="1"/>
    <col min="15" max="15" width="11.28515625" bestFit="1" customWidth="1"/>
    <col min="16" max="16" width="8.85546875" bestFit="1" customWidth="1"/>
    <col min="17" max="17" width="9.140625" style="1"/>
    <col min="18" max="18" width="17.28515625" style="1" bestFit="1" customWidth="1"/>
    <col min="19" max="19" width="9.140625" style="1" customWidth="1"/>
    <col min="21" max="21" width="11.28515625" bestFit="1" customWidth="1"/>
    <col min="22" max="22" width="8.85546875" bestFit="1" customWidth="1"/>
    <col min="24" max="24" width="17.28515625" bestFit="1" customWidth="1"/>
    <col min="27" max="27" width="11.28515625" bestFit="1" customWidth="1"/>
    <col min="28" max="28" width="8.85546875" bestFit="1" customWidth="1"/>
    <col min="30" max="30" width="17.28515625" bestFit="1" customWidth="1"/>
  </cols>
  <sheetData>
    <row r="1" spans="1:19" ht="15" customHeight="1" x14ac:dyDescent="0.25">
      <c r="A1" s="32" t="s">
        <v>27</v>
      </c>
      <c r="Q1"/>
      <c r="R1"/>
      <c r="S1"/>
    </row>
    <row r="2" spans="1:19" x14ac:dyDescent="0.25">
      <c r="A2" s="32"/>
      <c r="Q2"/>
      <c r="R2"/>
      <c r="S2"/>
    </row>
    <row r="3" spans="1:19" x14ac:dyDescent="0.25">
      <c r="A3" s="32"/>
      <c r="Q3"/>
      <c r="R3"/>
      <c r="S3"/>
    </row>
    <row r="4" spans="1:19" x14ac:dyDescent="0.25">
      <c r="A4" s="32"/>
      <c r="Q4"/>
      <c r="R4"/>
      <c r="S4"/>
    </row>
    <row r="5" spans="1:19" x14ac:dyDescent="0.25">
      <c r="A5" s="32"/>
      <c r="Q5"/>
      <c r="R5"/>
      <c r="S5"/>
    </row>
    <row r="6" spans="1:19" x14ac:dyDescent="0.25">
      <c r="A6" s="32"/>
      <c r="Q6"/>
      <c r="R6"/>
      <c r="S6"/>
    </row>
    <row r="7" spans="1:19" x14ac:dyDescent="0.25">
      <c r="A7" s="32"/>
      <c r="Q7"/>
      <c r="R7"/>
      <c r="S7"/>
    </row>
    <row r="8" spans="1:19" x14ac:dyDescent="0.25">
      <c r="A8" s="32"/>
      <c r="Q8"/>
      <c r="R8"/>
      <c r="S8"/>
    </row>
    <row r="9" spans="1:19" x14ac:dyDescent="0.25">
      <c r="A9" s="32"/>
      <c r="Q9"/>
      <c r="R9"/>
      <c r="S9"/>
    </row>
    <row r="10" spans="1:19" x14ac:dyDescent="0.25">
      <c r="A10" s="32"/>
      <c r="Q10"/>
      <c r="R10"/>
      <c r="S10"/>
    </row>
    <row r="11" spans="1:19" x14ac:dyDescent="0.25">
      <c r="A11" s="32"/>
      <c r="Q11"/>
      <c r="R11"/>
      <c r="S11"/>
    </row>
    <row r="12" spans="1:19" x14ac:dyDescent="0.25">
      <c r="A12" s="32"/>
      <c r="Q12"/>
      <c r="R12"/>
      <c r="S12"/>
    </row>
    <row r="13" spans="1:19" x14ac:dyDescent="0.25">
      <c r="A13" s="32"/>
      <c r="Q13"/>
      <c r="R13"/>
      <c r="S13"/>
    </row>
    <row r="14" spans="1:19" x14ac:dyDescent="0.25">
      <c r="A14" s="32"/>
      <c r="Q14"/>
      <c r="R14"/>
      <c r="S14"/>
    </row>
    <row r="15" spans="1:19" x14ac:dyDescent="0.25">
      <c r="A15" s="32"/>
      <c r="Q15"/>
      <c r="R15"/>
      <c r="S15"/>
    </row>
    <row r="16" spans="1:19" x14ac:dyDescent="0.25">
      <c r="A16" s="32"/>
      <c r="Q16"/>
      <c r="R16"/>
      <c r="S16"/>
    </row>
    <row r="17" spans="1:30" ht="15.75" thickBot="1" x14ac:dyDescent="0.3">
      <c r="A17" s="32"/>
      <c r="C17" s="31" t="s">
        <v>5</v>
      </c>
      <c r="D17" s="31"/>
      <c r="E17" s="31"/>
      <c r="F17"/>
      <c r="I17" s="31" t="s">
        <v>6</v>
      </c>
      <c r="J17" s="31"/>
      <c r="K17" s="31"/>
      <c r="O17" s="31" t="s">
        <v>7</v>
      </c>
      <c r="P17" s="31"/>
      <c r="Q17" s="31"/>
      <c r="R17"/>
      <c r="S17"/>
      <c r="U17" s="31" t="s">
        <v>8</v>
      </c>
      <c r="V17" s="31"/>
      <c r="W17" s="31"/>
      <c r="AA17" s="31" t="s">
        <v>9</v>
      </c>
      <c r="AB17" s="31"/>
      <c r="AC17" s="31"/>
    </row>
    <row r="18" spans="1:30" ht="15.75" thickBot="1" x14ac:dyDescent="0.3">
      <c r="A18" s="32"/>
      <c r="C18" s="4"/>
      <c r="D18" s="29" t="s">
        <v>40</v>
      </c>
      <c r="E18" s="7" t="s">
        <v>38</v>
      </c>
      <c r="F18"/>
      <c r="I18" s="4"/>
      <c r="J18" s="29" t="s">
        <v>40</v>
      </c>
      <c r="K18" s="7" t="s">
        <v>38</v>
      </c>
      <c r="O18" s="4"/>
      <c r="P18" s="29" t="s">
        <v>40</v>
      </c>
      <c r="Q18" s="7" t="s">
        <v>38</v>
      </c>
      <c r="R18"/>
      <c r="S18"/>
      <c r="U18" s="4"/>
      <c r="V18" s="29" t="s">
        <v>40</v>
      </c>
      <c r="W18" s="7" t="s">
        <v>38</v>
      </c>
      <c r="AA18" s="4"/>
      <c r="AB18" s="29" t="s">
        <v>40</v>
      </c>
      <c r="AC18" s="7" t="s">
        <v>38</v>
      </c>
    </row>
    <row r="19" spans="1:30" x14ac:dyDescent="0.25">
      <c r="A19" s="32"/>
      <c r="C19" s="8" t="s">
        <v>4</v>
      </c>
      <c r="D19" s="30" t="e">
        <f>AVERAGE(WT_Dark_All[BkgrdFiringRate])</f>
        <v>#DIV/0!</v>
      </c>
      <c r="E19" s="6" t="e">
        <f>AVERAGE(DTA_Dark_All[BkgrdFiringRate])</f>
        <v>#DIV/0!</v>
      </c>
      <c r="F19"/>
      <c r="I19" s="8" t="s">
        <v>4</v>
      </c>
      <c r="J19" s="30" t="e">
        <f>AVERAGE(WT_Dark_All[BkgrdISI])</f>
        <v>#DIV/0!</v>
      </c>
      <c r="K19" s="6" t="e">
        <f>AVERAGE(DTA_Dark_All[BkgrdISI])</f>
        <v>#DIV/0!</v>
      </c>
      <c r="O19" s="8" t="s">
        <v>4</v>
      </c>
      <c r="P19" s="30" t="e">
        <f>AVERAGE(WT_Dark_All[PercentSpikesInBursts])</f>
        <v>#DIV/0!</v>
      </c>
      <c r="Q19" s="6" t="e">
        <f>AVERAGE(DTA_Dark_All[PercentSpikesInBursts])</f>
        <v>#DIV/0!</v>
      </c>
      <c r="R19"/>
      <c r="S19"/>
      <c r="U19" s="8" t="s">
        <v>4</v>
      </c>
      <c r="V19" s="30" t="e">
        <f>AVERAGE(WT_Dark_All[BurstFrequency])</f>
        <v>#DIV/0!</v>
      </c>
      <c r="W19" s="6" t="e">
        <f>AVERAGE(DTA_Dark_All[BurstFrequency])</f>
        <v>#DIV/0!</v>
      </c>
      <c r="AA19" s="8" t="s">
        <v>4</v>
      </c>
      <c r="AB19" s="30" t="e">
        <f>AVERAGE(WT_Dark_All[IBI])</f>
        <v>#DIV/0!</v>
      </c>
      <c r="AC19" s="6" t="e">
        <f>AVERAGE(DTA_Dark_All[IBI])</f>
        <v>#DIV/0!</v>
      </c>
    </row>
    <row r="20" spans="1:30" ht="15.75" thickBot="1" x14ac:dyDescent="0.3">
      <c r="A20" s="32"/>
      <c r="C20" s="3" t="s">
        <v>2</v>
      </c>
      <c r="D20" s="28" t="e">
        <f>sem(WT_Dark_All[BkgrdFiringRate])</f>
        <v>#VALUE!</v>
      </c>
      <c r="E20" s="2" t="e">
        <f>sem(DTA_Dark_All[BkgrdFiringRate])</f>
        <v>#VALUE!</v>
      </c>
      <c r="F20"/>
      <c r="I20" s="3" t="s">
        <v>2</v>
      </c>
      <c r="J20" s="28" t="e">
        <f>sem(WT_Dark_All[BkgrdISI])</f>
        <v>#VALUE!</v>
      </c>
      <c r="K20" s="2" t="e">
        <f>sem(DTA_Dark_All[BkgrdISI])</f>
        <v>#VALUE!</v>
      </c>
      <c r="O20" s="3" t="s">
        <v>2</v>
      </c>
      <c r="P20" s="28" t="e">
        <f>sem(WT_Dark_All[PercentSpikesInBursts])</f>
        <v>#VALUE!</v>
      </c>
      <c r="Q20" s="2" t="e">
        <f>sem(DTA_Dark_All[PercentSpikesInBursts])</f>
        <v>#VALUE!</v>
      </c>
      <c r="R20"/>
      <c r="S20"/>
      <c r="U20" s="3" t="s">
        <v>2</v>
      </c>
      <c r="V20" s="28" t="e">
        <f>sem(WT_Dark_All[BurstFrequency])</f>
        <v>#VALUE!</v>
      </c>
      <c r="W20" s="2" t="e">
        <f>sem(DTA_Dark_All[BurstFrequency])</f>
        <v>#VALUE!</v>
      </c>
      <c r="AA20" s="3" t="s">
        <v>2</v>
      </c>
      <c r="AB20" s="28" t="e">
        <f>sem(WT_Dark_All[IBI])</f>
        <v>#VALUE!</v>
      </c>
      <c r="AC20" s="2" t="e">
        <f>sem(DTA_Dark_All[IBI])</f>
        <v>#VALUE!</v>
      </c>
    </row>
    <row r="21" spans="1:30" x14ac:dyDescent="0.25">
      <c r="A21" s="32"/>
      <c r="C21" s="5" t="s">
        <v>32</v>
      </c>
      <c r="D21" s="1" t="e">
        <f>($E19-$D19)/$D19*100</f>
        <v>#DIV/0!</v>
      </c>
      <c r="I21" s="5" t="s">
        <v>32</v>
      </c>
      <c r="J21" s="1" t="e">
        <f>(K19-J19)/J19*100</f>
        <v>#DIV/0!</v>
      </c>
      <c r="K21" s="1"/>
      <c r="L21" s="1"/>
      <c r="O21" s="5" t="s">
        <v>32</v>
      </c>
      <c r="P21" s="1" t="e">
        <f>(Q19-P19)/P19*100</f>
        <v>#DIV/0!</v>
      </c>
      <c r="S21"/>
      <c r="U21" s="5" t="s">
        <v>32</v>
      </c>
      <c r="V21" s="1" t="e">
        <f>(W19-V19)/V19*100</f>
        <v>#DIV/0!</v>
      </c>
      <c r="W21" s="1"/>
      <c r="X21" s="1"/>
      <c r="AA21" s="5" t="s">
        <v>32</v>
      </c>
      <c r="AB21" s="1" t="e">
        <f>(AC19-AB19)/AB19*100</f>
        <v>#DIV/0!</v>
      </c>
      <c r="AC21" s="1"/>
      <c r="AD21" s="1"/>
    </row>
    <row r="22" spans="1:30" x14ac:dyDescent="0.25">
      <c r="A22" s="32"/>
      <c r="C22" s="5" t="s">
        <v>31</v>
      </c>
      <c r="D22" s="1" t="e">
        <f>$E19/$D19</f>
        <v>#DIV/0!</v>
      </c>
      <c r="I22" s="5" t="s">
        <v>31</v>
      </c>
      <c r="J22" s="1" t="e">
        <f>K19/J19</f>
        <v>#DIV/0!</v>
      </c>
      <c r="K22" s="1"/>
      <c r="L22" s="1"/>
      <c r="O22" s="5" t="s">
        <v>31</v>
      </c>
      <c r="P22" s="1" t="e">
        <f>Q19/P19</f>
        <v>#DIV/0!</v>
      </c>
      <c r="S22"/>
      <c r="U22" s="5" t="s">
        <v>31</v>
      </c>
      <c r="V22" s="1" t="e">
        <f>W19/V19</f>
        <v>#DIV/0!</v>
      </c>
      <c r="W22" s="1"/>
      <c r="X22" s="1"/>
      <c r="AA22" s="5" t="s">
        <v>31</v>
      </c>
      <c r="AB22" s="1" t="e">
        <f>AC19/AB19</f>
        <v>#DIV/0!</v>
      </c>
      <c r="AC22" s="1"/>
      <c r="AD22" s="1"/>
    </row>
    <row r="23" spans="1:30" x14ac:dyDescent="0.25">
      <c r="A23" s="32"/>
      <c r="Q23"/>
      <c r="R23"/>
      <c r="S23"/>
      <c r="AC23" s="1"/>
      <c r="AD23" s="1"/>
    </row>
    <row r="24" spans="1:30" x14ac:dyDescent="0.25">
      <c r="A24" s="32"/>
      <c r="Q24"/>
      <c r="R24"/>
      <c r="S24"/>
      <c r="AC24" s="1"/>
      <c r="AD24" s="1"/>
    </row>
    <row r="25" spans="1:30" x14ac:dyDescent="0.25">
      <c r="A25" s="32"/>
      <c r="C25" s="1" t="s">
        <v>3</v>
      </c>
      <c r="D25" s="1" t="s">
        <v>16</v>
      </c>
      <c r="E25" s="1" t="s">
        <v>41</v>
      </c>
      <c r="I25" s="1" t="s">
        <v>3</v>
      </c>
      <c r="J25" s="1" t="s">
        <v>16</v>
      </c>
      <c r="K25" s="1" t="s">
        <v>41</v>
      </c>
      <c r="L25" s="1"/>
      <c r="O25" s="1" t="s">
        <v>3</v>
      </c>
      <c r="P25" s="1" t="s">
        <v>16</v>
      </c>
      <c r="Q25" s="1" t="s">
        <v>41</v>
      </c>
      <c r="S25"/>
      <c r="U25" s="1" t="s">
        <v>3</v>
      </c>
      <c r="V25" s="1" t="s">
        <v>16</v>
      </c>
      <c r="W25" s="1" t="s">
        <v>41</v>
      </c>
      <c r="X25" s="1"/>
      <c r="AA25" s="1" t="s">
        <v>3</v>
      </c>
      <c r="AB25" s="1" t="s">
        <v>16</v>
      </c>
      <c r="AC25" s="1" t="s">
        <v>41</v>
      </c>
      <c r="AD25" s="1"/>
    </row>
    <row r="26" spans="1:30" x14ac:dyDescent="0.25">
      <c r="A26" s="32"/>
      <c r="C26" s="1">
        <v>1</v>
      </c>
      <c r="D26" s="1" t="e">
        <f>AVERAGEIF(WT_Dark_All[Retina],Figures!$C26,WT_Dark_All[BkgrdFiringRate])</f>
        <v>#DIV/0!</v>
      </c>
      <c r="E26" s="1" t="e">
        <f>AVERAGEIF(DTA_Dark_All[Retina],Figures!$C26,DTA_Dark_All[BkgrdFiringRate])</f>
        <v>#DIV/0!</v>
      </c>
      <c r="I26" s="1">
        <v>1</v>
      </c>
      <c r="J26" s="1" t="e">
        <f>AVERAGEIF(WT_Dark_All[Retina],Figures!$I26,WT_Dark_All[BkgrdISI])</f>
        <v>#DIV/0!</v>
      </c>
      <c r="K26" s="1" t="e">
        <f>AVERAGEIF(DTA_Dark_All[Retina],Figures!$I26,DTA_Dark_All[BkgrdISI])</f>
        <v>#DIV/0!</v>
      </c>
      <c r="L26" s="1"/>
      <c r="O26" s="1">
        <v>1</v>
      </c>
      <c r="P26" s="1" t="e">
        <f>AVERAGEIF(WT_Dark_All[Retina],Figures!$O26,WT_Dark_All[PercentSpikesInBursts])</f>
        <v>#DIV/0!</v>
      </c>
      <c r="Q26" s="1" t="e">
        <f>AVERAGEIF(DTA_Dark_All[Retina],Figures!$O26,DTA_Dark_All[PercentSpikesInBursts])</f>
        <v>#DIV/0!</v>
      </c>
      <c r="S26"/>
      <c r="U26" s="1">
        <v>1</v>
      </c>
      <c r="V26" s="1" t="e">
        <f>AVERAGEIF(WT_Dark_All[Retina],Figures!$U26,WT_Dark_All[BurstFrequency])</f>
        <v>#DIV/0!</v>
      </c>
      <c r="W26" s="1" t="e">
        <f>AVERAGEIF(DTA_Dark_All[Retina],Figures!$U26,DTA_Dark_All[BurstFrequency])</f>
        <v>#DIV/0!</v>
      </c>
      <c r="X26" s="1"/>
      <c r="AA26" s="1">
        <v>1</v>
      </c>
      <c r="AB26" s="1" t="e">
        <f>AVERAGEIF(WT_Dark_All[Retina],Figures!$AA26,WT_Dark_All[IBI])</f>
        <v>#DIV/0!</v>
      </c>
      <c r="AC26" s="1" t="e">
        <f>AVERAGEIF(DTA_Dark_All[Retina],Figures!$AA26,DTA_Dark_All[IBI])</f>
        <v>#DIV/0!</v>
      </c>
      <c r="AD26" s="1"/>
    </row>
    <row r="27" spans="1:30" x14ac:dyDescent="0.25">
      <c r="A27" s="32"/>
      <c r="C27" s="1">
        <v>2</v>
      </c>
      <c r="D27" s="1" t="e">
        <f>AVERAGEIF(WT_Dark_All[Retina],Figures!$C27,WT_Dark_All[BkgrdFiringRate])</f>
        <v>#DIV/0!</v>
      </c>
      <c r="E27" s="1" t="e">
        <f>AVERAGEIF(DTA_Dark_All[Retina],Figures!$C27,DTA_Dark_All[BkgrdFiringRate])</f>
        <v>#DIV/0!</v>
      </c>
      <c r="I27" s="1">
        <v>2</v>
      </c>
      <c r="J27" s="1" t="e">
        <f>AVERAGEIF(WT_Dark_All[Retina],Figures!$I27,WT_Dark_All[BkgrdISI])</f>
        <v>#DIV/0!</v>
      </c>
      <c r="K27" s="1" t="e">
        <f>AVERAGEIF(DTA_Dark_All[Retina],Figures!$I27,DTA_Dark_All[BkgrdISI])</f>
        <v>#DIV/0!</v>
      </c>
      <c r="L27" s="1"/>
      <c r="O27" s="1">
        <v>2</v>
      </c>
      <c r="P27" s="1" t="e">
        <f>AVERAGEIF(WT_Dark_All[Retina],Figures!$O27,WT_Dark_All[PercentSpikesInBursts])</f>
        <v>#DIV/0!</v>
      </c>
      <c r="Q27" s="1" t="e">
        <f>AVERAGEIF(DTA_Dark_All[Retina],Figures!$O27,DTA_Dark_All[PercentSpikesInBursts])</f>
        <v>#DIV/0!</v>
      </c>
      <c r="S27"/>
      <c r="U27" s="1">
        <v>2</v>
      </c>
      <c r="V27" s="1" t="e">
        <f>AVERAGEIF(WT_Dark_All[Retina],Figures!$U27,WT_Dark_All[BurstFrequency])</f>
        <v>#DIV/0!</v>
      </c>
      <c r="W27" s="1" t="e">
        <f>AVERAGEIF(DTA_Dark_All[Retina],Figures!$U27,DTA_Dark_All[BurstFrequency])</f>
        <v>#DIV/0!</v>
      </c>
      <c r="X27" s="1"/>
      <c r="AA27" s="1">
        <v>2</v>
      </c>
      <c r="AB27" s="1" t="e">
        <f>AVERAGEIF(WT_Dark_All[Retina],Figures!$AA27,WT_Dark_All[IBI])</f>
        <v>#DIV/0!</v>
      </c>
      <c r="AC27" s="1" t="e">
        <f>AVERAGEIF(DTA_Dark_All[Retina],Figures!$AA27,DTA_Dark_All[IBI])</f>
        <v>#DIV/0!</v>
      </c>
      <c r="AD27" s="1"/>
    </row>
    <row r="28" spans="1:30" x14ac:dyDescent="0.25">
      <c r="A28" s="32"/>
      <c r="C28" s="1">
        <v>3</v>
      </c>
      <c r="D28" s="1" t="e">
        <f>AVERAGEIF(WT_Dark_All[Retina],Figures!$C28,WT_Dark_All[BkgrdFiringRate])</f>
        <v>#DIV/0!</v>
      </c>
      <c r="E28" s="1" t="e">
        <f>AVERAGEIF(DTA_Dark_All[Retina],Figures!$C28,DTA_Dark_All[BkgrdFiringRate])</f>
        <v>#DIV/0!</v>
      </c>
      <c r="I28" s="1">
        <v>3</v>
      </c>
      <c r="J28" s="1" t="e">
        <f>AVERAGEIF(WT_Dark_All[Retina],Figures!$I28,WT_Dark_All[BkgrdISI])</f>
        <v>#DIV/0!</v>
      </c>
      <c r="K28" s="1" t="e">
        <f>AVERAGEIF(DTA_Dark_All[Retina],Figures!$I28,DTA_Dark_All[BkgrdISI])</f>
        <v>#DIV/0!</v>
      </c>
      <c r="L28" s="1"/>
      <c r="O28" s="1">
        <v>3</v>
      </c>
      <c r="P28" s="1" t="e">
        <f>AVERAGEIF(WT_Dark_All[Retina],Figures!$O28,WT_Dark_All[PercentSpikesInBursts])</f>
        <v>#DIV/0!</v>
      </c>
      <c r="Q28" s="1" t="e">
        <f>AVERAGEIF(DTA_Dark_All[Retina],Figures!$O28,DTA_Dark_All[PercentSpikesInBursts])</f>
        <v>#DIV/0!</v>
      </c>
      <c r="S28"/>
      <c r="U28" s="1">
        <v>3</v>
      </c>
      <c r="V28" s="1" t="e">
        <f>AVERAGEIF(WT_Dark_All[Retina],Figures!$U28,WT_Dark_All[BurstFrequency])</f>
        <v>#DIV/0!</v>
      </c>
      <c r="W28" s="1" t="e">
        <f>AVERAGEIF(DTA_Dark_All[Retina],Figures!$U28,DTA_Dark_All[BurstFrequency])</f>
        <v>#DIV/0!</v>
      </c>
      <c r="X28" s="1"/>
      <c r="AA28" s="1">
        <v>3</v>
      </c>
      <c r="AB28" s="1" t="e">
        <f>AVERAGEIF(WT_Dark_All[Retina],Figures!$AA28,WT_Dark_All[IBI])</f>
        <v>#DIV/0!</v>
      </c>
      <c r="AC28" s="1" t="e">
        <f>AVERAGEIF(DTA_Dark_All[Retina],Figures!$AA28,DTA_Dark_All[IBI])</f>
        <v>#DIV/0!</v>
      </c>
      <c r="AD28" s="1"/>
    </row>
    <row r="29" spans="1:30" x14ac:dyDescent="0.25">
      <c r="A29" s="32"/>
      <c r="C29" s="1">
        <v>4</v>
      </c>
      <c r="D29" s="1" t="e">
        <f>AVERAGEIF(WT_Dark_All[Retina],Figures!$C29,WT_Dark_All[BkgrdFiringRate])</f>
        <v>#DIV/0!</v>
      </c>
      <c r="E29" s="1" t="e">
        <f>AVERAGEIF(DTA_Dark_All[Retina],Figures!$C29,DTA_Dark_All[BkgrdFiringRate])</f>
        <v>#DIV/0!</v>
      </c>
      <c r="I29" s="1">
        <v>4</v>
      </c>
      <c r="J29" s="1" t="e">
        <f>AVERAGEIF(WT_Dark_All[Retina],Figures!$I29,WT_Dark_All[BkgrdISI])</f>
        <v>#DIV/0!</v>
      </c>
      <c r="K29" s="1" t="e">
        <f>AVERAGEIF(DTA_Dark_All[Retina],Figures!$I29,DTA_Dark_All[BkgrdISI])</f>
        <v>#DIV/0!</v>
      </c>
      <c r="L29" s="1"/>
      <c r="O29" s="1">
        <v>4</v>
      </c>
      <c r="P29" s="1" t="e">
        <f>AVERAGEIF(WT_Dark_All[Retina],Figures!$O29,WT_Dark_All[PercentSpikesInBursts])</f>
        <v>#DIV/0!</v>
      </c>
      <c r="Q29" s="1" t="e">
        <f>AVERAGEIF(DTA_Dark_All[Retina],Figures!$O29,DTA_Dark_All[PercentSpikesInBursts])</f>
        <v>#DIV/0!</v>
      </c>
      <c r="S29"/>
      <c r="U29" s="1">
        <v>4</v>
      </c>
      <c r="V29" s="1" t="e">
        <f>AVERAGEIF(WT_Dark_All[Retina],Figures!$U29,WT_Dark_All[BurstFrequency])</f>
        <v>#DIV/0!</v>
      </c>
      <c r="W29" s="1" t="e">
        <f>AVERAGEIF(DTA_Dark_All[Retina],Figures!$U29,DTA_Dark_All[BurstFrequency])</f>
        <v>#DIV/0!</v>
      </c>
      <c r="X29" s="1"/>
      <c r="AA29" s="1">
        <v>4</v>
      </c>
      <c r="AB29" s="1" t="e">
        <f>AVERAGEIF(WT_Dark_All[Retina],Figures!$AA29,WT_Dark_All[IBI])</f>
        <v>#DIV/0!</v>
      </c>
      <c r="AC29" s="1" t="e">
        <f>AVERAGEIF(DTA_Dark_All[Retina],Figures!$AA29,DTA_Dark_All[IBI])</f>
        <v>#DIV/0!</v>
      </c>
      <c r="AD29" s="1"/>
    </row>
    <row r="30" spans="1:30" x14ac:dyDescent="0.25">
      <c r="A30" s="32"/>
      <c r="C30" s="1">
        <v>5</v>
      </c>
      <c r="D30" s="1" t="e">
        <f>AVERAGEIF(WT_Dark_All[Retina],Figures!$C30,WT_Dark_All[BkgrdFiringRate])</f>
        <v>#DIV/0!</v>
      </c>
      <c r="E30" s="1" t="e">
        <f>AVERAGEIF(DTA_Dark_All[Retina],Figures!$C30,DTA_Dark_All[BkgrdFiringRate])</f>
        <v>#DIV/0!</v>
      </c>
      <c r="I30" s="1">
        <v>5</v>
      </c>
      <c r="J30" s="1" t="e">
        <f>AVERAGEIF(WT_Dark_All[Retina],Figures!$I30,WT_Dark_All[BkgrdISI])</f>
        <v>#DIV/0!</v>
      </c>
      <c r="K30" s="1" t="e">
        <f>AVERAGEIF(DTA_Dark_All[Retina],Figures!$I30,DTA_Dark_All[BkgrdISI])</f>
        <v>#DIV/0!</v>
      </c>
      <c r="L30" s="1"/>
      <c r="O30" s="1">
        <v>5</v>
      </c>
      <c r="P30" s="1" t="e">
        <f>AVERAGEIF(WT_Dark_All[Retina],Figures!$O30,WT_Dark_All[PercentSpikesInBursts])</f>
        <v>#DIV/0!</v>
      </c>
      <c r="Q30" s="1" t="e">
        <f>AVERAGEIF(DTA_Dark_All[Retina],Figures!$O30,DTA_Dark_All[PercentSpikesInBursts])</f>
        <v>#DIV/0!</v>
      </c>
      <c r="S30"/>
      <c r="U30" s="1">
        <v>5</v>
      </c>
      <c r="V30" s="1" t="e">
        <f>AVERAGEIF(WT_Dark_All[Retina],Figures!$U30,WT_Dark_All[BurstFrequency])</f>
        <v>#DIV/0!</v>
      </c>
      <c r="W30" s="1" t="e">
        <f>AVERAGEIF(DTA_Dark_All[Retina],Figures!$U30,DTA_Dark_All[BurstFrequency])</f>
        <v>#DIV/0!</v>
      </c>
      <c r="X30" s="1"/>
      <c r="AA30" s="1">
        <v>5</v>
      </c>
      <c r="AB30" s="1" t="e">
        <f>AVERAGEIF(WT_Dark_All[Retina],Figures!$AA30,WT_Dark_All[IBI])</f>
        <v>#DIV/0!</v>
      </c>
      <c r="AC30" s="1" t="e">
        <f>AVERAGEIF(DTA_Dark_All[Retina],Figures!$AA30,DTA_Dark_All[IBI])</f>
        <v>#DIV/0!</v>
      </c>
      <c r="AD30" s="1"/>
    </row>
    <row r="31" spans="1:30" x14ac:dyDescent="0.25">
      <c r="A31" s="32"/>
      <c r="C31" s="1">
        <v>6</v>
      </c>
      <c r="D31" s="1" t="e">
        <f>AVERAGEIF(WT_Dark_All[Retina],Figures!$C31,WT_Dark_All[BkgrdFiringRate])</f>
        <v>#DIV/0!</v>
      </c>
      <c r="E31" s="1" t="e">
        <f>AVERAGEIF(DTA_Dark_All[Retina],Figures!$C31,DTA_Dark_All[BkgrdFiringRate])</f>
        <v>#DIV/0!</v>
      </c>
      <c r="I31" s="1">
        <v>6</v>
      </c>
      <c r="J31" s="1" t="e">
        <f>AVERAGEIF(WT_Dark_All[Retina],Figures!$I31,WT_Dark_All[BkgrdISI])</f>
        <v>#DIV/0!</v>
      </c>
      <c r="K31" s="1" t="e">
        <f>AVERAGEIF(DTA_Dark_All[Retina],Figures!$I31,DTA_Dark_All[BkgrdISI])</f>
        <v>#DIV/0!</v>
      </c>
      <c r="L31" s="1"/>
      <c r="O31" s="1">
        <v>6</v>
      </c>
      <c r="P31" s="1" t="e">
        <f>AVERAGEIF(WT_Dark_All[Retina],Figures!$O31,WT_Dark_All[PercentSpikesInBursts])</f>
        <v>#DIV/0!</v>
      </c>
      <c r="Q31" s="1" t="e">
        <f>AVERAGEIF(DTA_Dark_All[Retina],Figures!$O31,DTA_Dark_All[PercentSpikesInBursts])</f>
        <v>#DIV/0!</v>
      </c>
      <c r="S31"/>
      <c r="U31" s="1">
        <v>6</v>
      </c>
      <c r="V31" s="1" t="e">
        <f>AVERAGEIF(WT_Dark_All[Retina],Figures!$U31,WT_Dark_All[BurstFrequency])</f>
        <v>#DIV/0!</v>
      </c>
      <c r="W31" s="1" t="e">
        <f>AVERAGEIF(DTA_Dark_All[Retina],Figures!$U31,DTA_Dark_All[BurstFrequency])</f>
        <v>#DIV/0!</v>
      </c>
      <c r="X31" s="1"/>
      <c r="AA31" s="1">
        <v>6</v>
      </c>
      <c r="AB31" s="1" t="e">
        <f>AVERAGEIF(WT_Dark_All[Retina],Figures!$AA31,WT_Dark_All[IBI])</f>
        <v>#DIV/0!</v>
      </c>
      <c r="AC31" s="1" t="e">
        <f>AVERAGEIF(DTA_Dark_All[Retina],Figures!$AA31,DTA_Dark_All[IBI])</f>
        <v>#DIV/0!</v>
      </c>
      <c r="AD31" s="1"/>
    </row>
    <row r="32" spans="1:30" x14ac:dyDescent="0.25">
      <c r="C32" s="1">
        <v>7</v>
      </c>
      <c r="D32" s="1" t="e">
        <f>AVERAGEIF(WT_Dark_All[Retina],Figures!$C32,WT_Dark_All[BkgrdFiringRate])</f>
        <v>#DIV/0!</v>
      </c>
      <c r="E32" s="1" t="e">
        <f>AVERAGEIF(DTA_Dark_All[Retina],Figures!$C32,DTA_Dark_All[BkgrdFiringRate])</f>
        <v>#DIV/0!</v>
      </c>
      <c r="I32" s="1">
        <v>7</v>
      </c>
      <c r="J32" s="1" t="e">
        <f>AVERAGEIF(WT_Dark_All[Retina],Figures!$I32,WT_Dark_All[BkgrdISI])</f>
        <v>#DIV/0!</v>
      </c>
      <c r="K32" s="1" t="e">
        <f>AVERAGEIF(DTA_Dark_All[Retina],Figures!$I32,DTA_Dark_All[BkgrdISI])</f>
        <v>#DIV/0!</v>
      </c>
      <c r="L32" s="1"/>
      <c r="O32" s="1">
        <v>7</v>
      </c>
      <c r="P32" s="1" t="e">
        <f>AVERAGEIF(WT_Dark_All[Retina],Figures!$O32,WT_Dark_All[PercentSpikesInBursts])</f>
        <v>#DIV/0!</v>
      </c>
      <c r="Q32" s="1" t="e">
        <f>AVERAGEIF(DTA_Dark_All[Retina],Figures!$O32,DTA_Dark_All[PercentSpikesInBursts])</f>
        <v>#DIV/0!</v>
      </c>
      <c r="S32"/>
      <c r="U32" s="1">
        <v>7</v>
      </c>
      <c r="V32" s="1" t="e">
        <f>AVERAGEIF(WT_Dark_All[Retina],Figures!$U32,WT_Dark_All[BurstFrequency])</f>
        <v>#DIV/0!</v>
      </c>
      <c r="W32" s="1" t="e">
        <f>AVERAGEIF(DTA_Dark_All[Retina],Figures!$U32,DTA_Dark_All[BurstFrequency])</f>
        <v>#DIV/0!</v>
      </c>
      <c r="X32" s="1"/>
      <c r="AA32" s="1">
        <v>7</v>
      </c>
      <c r="AB32" s="1" t="e">
        <f>AVERAGEIF(WT_Dark_All[Retina],Figures!$AA32,WT_Dark_All[IBI])</f>
        <v>#DIV/0!</v>
      </c>
      <c r="AC32" s="1" t="e">
        <f>AVERAGEIF(DTA_Dark_All[Retina],Figures!$AA32,DTA_Dark_All[IBI])</f>
        <v>#DIV/0!</v>
      </c>
      <c r="AD32" s="1"/>
    </row>
    <row r="33" spans="1:19" x14ac:dyDescent="0.25">
      <c r="Q33"/>
      <c r="R33"/>
      <c r="S33"/>
    </row>
    <row r="34" spans="1:19" s="21" customFormat="1" x14ac:dyDescent="0.25">
      <c r="C34" s="22"/>
      <c r="D34" s="22"/>
      <c r="E34" s="22"/>
      <c r="F34" s="22"/>
      <c r="G34" s="22"/>
      <c r="H34" s="22"/>
      <c r="I34" s="22"/>
      <c r="Q34" s="22"/>
      <c r="R34" s="22"/>
      <c r="S34" s="22"/>
    </row>
    <row r="37" spans="1:19" ht="15" customHeight="1" x14ac:dyDescent="0.25">
      <c r="A37" s="33" t="s">
        <v>23</v>
      </c>
      <c r="Q37"/>
      <c r="R37"/>
      <c r="S37"/>
    </row>
    <row r="38" spans="1:19" x14ac:dyDescent="0.25">
      <c r="A38" s="33"/>
    </row>
    <row r="39" spans="1:19" x14ac:dyDescent="0.25">
      <c r="A39" s="33"/>
    </row>
    <row r="40" spans="1:19" x14ac:dyDescent="0.25">
      <c r="A40" s="33"/>
    </row>
    <row r="41" spans="1:19" x14ac:dyDescent="0.25">
      <c r="A41" s="33"/>
    </row>
    <row r="42" spans="1:19" x14ac:dyDescent="0.25">
      <c r="A42" s="33"/>
    </row>
    <row r="43" spans="1:19" x14ac:dyDescent="0.25">
      <c r="A43" s="33"/>
    </row>
    <row r="44" spans="1:19" x14ac:dyDescent="0.25">
      <c r="A44" s="33"/>
    </row>
    <row r="45" spans="1:19" x14ac:dyDescent="0.25">
      <c r="A45" s="33"/>
    </row>
    <row r="46" spans="1:19" x14ac:dyDescent="0.25">
      <c r="A46" s="33"/>
    </row>
    <row r="47" spans="1:19" x14ac:dyDescent="0.25">
      <c r="A47" s="33"/>
    </row>
    <row r="48" spans="1:19" x14ac:dyDescent="0.25">
      <c r="A48" s="33"/>
    </row>
    <row r="49" spans="1:30" x14ac:dyDescent="0.25">
      <c r="A49" s="33"/>
    </row>
    <row r="50" spans="1:30" x14ac:dyDescent="0.25">
      <c r="A50" s="33"/>
    </row>
    <row r="51" spans="1:30" x14ac:dyDescent="0.25">
      <c r="A51" s="33"/>
    </row>
    <row r="52" spans="1:30" x14ac:dyDescent="0.25">
      <c r="A52" s="33"/>
    </row>
    <row r="53" spans="1:30" x14ac:dyDescent="0.25">
      <c r="A53" s="33"/>
      <c r="Q53"/>
      <c r="R53"/>
      <c r="S53"/>
    </row>
    <row r="54" spans="1:30" x14ac:dyDescent="0.25">
      <c r="A54" s="33"/>
    </row>
    <row r="55" spans="1:30" x14ac:dyDescent="0.25">
      <c r="A55" s="33"/>
    </row>
    <row r="56" spans="1:30" ht="15.75" thickBot="1" x14ac:dyDescent="0.3">
      <c r="A56" s="33"/>
      <c r="C56" s="31" t="s">
        <v>10</v>
      </c>
      <c r="D56" s="31"/>
      <c r="E56" s="31"/>
      <c r="F56"/>
      <c r="I56" s="31" t="s">
        <v>28</v>
      </c>
      <c r="J56" s="31"/>
      <c r="K56" s="31"/>
      <c r="O56" s="31" t="s">
        <v>29</v>
      </c>
      <c r="P56" s="31"/>
      <c r="Q56" s="31"/>
      <c r="R56"/>
      <c r="U56" s="31" t="s">
        <v>30</v>
      </c>
      <c r="V56" s="31"/>
      <c r="W56" s="31"/>
      <c r="AA56" s="31" t="s">
        <v>11</v>
      </c>
      <c r="AB56" s="31"/>
      <c r="AC56" s="31"/>
    </row>
    <row r="57" spans="1:30" ht="15.75" thickBot="1" x14ac:dyDescent="0.3">
      <c r="A57" s="33"/>
      <c r="C57" s="4"/>
      <c r="D57" s="29" t="s">
        <v>40</v>
      </c>
      <c r="E57" s="7" t="s">
        <v>38</v>
      </c>
      <c r="F57"/>
      <c r="I57" s="4"/>
      <c r="J57" s="29" t="s">
        <v>40</v>
      </c>
      <c r="K57" s="7" t="s">
        <v>38</v>
      </c>
      <c r="O57" s="4"/>
      <c r="P57" s="29" t="s">
        <v>40</v>
      </c>
      <c r="Q57" s="7" t="s">
        <v>38</v>
      </c>
      <c r="R57"/>
      <c r="U57" s="4"/>
      <c r="V57" s="29" t="s">
        <v>40</v>
      </c>
      <c r="W57" s="7" t="s">
        <v>38</v>
      </c>
      <c r="AA57" s="4"/>
      <c r="AB57" s="29" t="s">
        <v>40</v>
      </c>
      <c r="AC57" s="7" t="s">
        <v>38</v>
      </c>
    </row>
    <row r="58" spans="1:30" x14ac:dyDescent="0.25">
      <c r="A58" s="33"/>
      <c r="C58" s="8" t="s">
        <v>4</v>
      </c>
      <c r="D58" s="30" t="e">
        <f>AVERAGE(WT_Dark_WABs[BurstDuration])</f>
        <v>#DIV/0!</v>
      </c>
      <c r="E58" s="6" t="e">
        <f>AVERAGE(DTA_Dark_WABs[BurstDuration])</f>
        <v>#DIV/0!</v>
      </c>
      <c r="F58"/>
      <c r="I58" s="8" t="s">
        <v>4</v>
      </c>
      <c r="J58" s="30" t="e">
        <f>AVERAGE(WT_Dark_WABs[BurstFiringRate])</f>
        <v>#DIV/0!</v>
      </c>
      <c r="K58" s="6" t="e">
        <f>AVERAGE(DTA_Dark_WABs[BurstFiringRate])</f>
        <v>#DIV/0!</v>
      </c>
      <c r="O58" s="8" t="s">
        <v>4</v>
      </c>
      <c r="P58" s="30" t="e">
        <f>AVERAGE(WT_Dark_WABs[BurstISI])</f>
        <v>#DIV/0!</v>
      </c>
      <c r="Q58" s="6" t="e">
        <f>AVERAGE(DTA_Dark_WABs[BurstISI])</f>
        <v>#DIV/0!</v>
      </c>
      <c r="R58"/>
      <c r="U58" s="8" t="s">
        <v>4</v>
      </c>
      <c r="V58" s="30" t="e">
        <f>AVERAGE(WT_Dark_WABs[PercentBurstTimeAbove10Hz])</f>
        <v>#DIV/0!</v>
      </c>
      <c r="W58" s="6" t="e">
        <f>AVERAGE(DTA_Dark_WABs[PercentBurstTimeAbove10Hz])</f>
        <v>#DIV/0!</v>
      </c>
      <c r="AA58" s="8" t="s">
        <v>4</v>
      </c>
      <c r="AB58" s="30" t="e">
        <f>AVERAGE(WT_Dark_WABs[SpikesPerBurst])</f>
        <v>#DIV/0!</v>
      </c>
      <c r="AC58" s="6" t="e">
        <f>AVERAGE(DTA_Dark_WABs[SpikesPerBurst])</f>
        <v>#DIV/0!</v>
      </c>
    </row>
    <row r="59" spans="1:30" ht="15.75" thickBot="1" x14ac:dyDescent="0.3">
      <c r="A59" s="33"/>
      <c r="C59" s="3" t="s">
        <v>2</v>
      </c>
      <c r="D59" s="28" t="e">
        <f>sem(WT_Dark_WABs[BurstDuration])</f>
        <v>#VALUE!</v>
      </c>
      <c r="E59" s="2" t="e">
        <f>sem(DTA_Dark_WABs[BurstDuration])</f>
        <v>#VALUE!</v>
      </c>
      <c r="F59"/>
      <c r="I59" s="3" t="s">
        <v>2</v>
      </c>
      <c r="J59" s="28" t="e">
        <f>sem(WT_Dark_WABs[BurstFiringRate])</f>
        <v>#VALUE!</v>
      </c>
      <c r="K59" s="2" t="e">
        <f>sem(DTA_Dark_WABs[BurstFiringRate])</f>
        <v>#VALUE!</v>
      </c>
      <c r="O59" s="3" t="s">
        <v>2</v>
      </c>
      <c r="P59" s="28" t="e">
        <f>sem(WT_Dark_WABs[BurstISI])</f>
        <v>#VALUE!</v>
      </c>
      <c r="Q59" s="2" t="e">
        <f>sem(DTA_Dark_WABs[BurstISI])</f>
        <v>#VALUE!</v>
      </c>
      <c r="R59"/>
      <c r="U59" s="3" t="s">
        <v>2</v>
      </c>
      <c r="V59" s="28" t="e">
        <f>sem(WT_Dark_WABs[PercentBurstTimeAbove10Hz])</f>
        <v>#VALUE!</v>
      </c>
      <c r="W59" s="2" t="e">
        <f>sem(DTA_Dark_WABs[PercentBurstTimeAbove10Hz])</f>
        <v>#VALUE!</v>
      </c>
      <c r="AA59" s="3" t="s">
        <v>2</v>
      </c>
      <c r="AB59" s="28" t="e">
        <f>sem(WT_Dark_WABs[SpikesPerBurst])</f>
        <v>#VALUE!</v>
      </c>
      <c r="AC59" s="2" t="e">
        <f>sem(DTA_Dark_WABs[SpikesPerBurst])</f>
        <v>#VALUE!</v>
      </c>
    </row>
    <row r="60" spans="1:30" x14ac:dyDescent="0.25">
      <c r="A60" s="33"/>
      <c r="C60" s="5" t="s">
        <v>32</v>
      </c>
      <c r="D60" s="1" t="e">
        <f>(E58-D58)/D58*100</f>
        <v>#DIV/0!</v>
      </c>
      <c r="I60" s="5" t="s">
        <v>32</v>
      </c>
      <c r="J60" s="1" t="e">
        <f>(K58-J58)/J58*100</f>
        <v>#DIV/0!</v>
      </c>
      <c r="K60" s="1"/>
      <c r="L60" s="1"/>
      <c r="O60" s="5" t="s">
        <v>32</v>
      </c>
      <c r="P60" s="1" t="e">
        <f>(Q58-P58)/P58*100</f>
        <v>#DIV/0!</v>
      </c>
      <c r="U60" s="5" t="s">
        <v>32</v>
      </c>
      <c r="V60" s="1" t="e">
        <f>(W58-V58)/V58*100</f>
        <v>#DIV/0!</v>
      </c>
      <c r="W60" s="1"/>
      <c r="X60" s="1"/>
      <c r="AA60" s="5" t="s">
        <v>32</v>
      </c>
      <c r="AB60" s="1" t="e">
        <f>(AC58-AB58)/AB58*100</f>
        <v>#DIV/0!</v>
      </c>
      <c r="AC60" s="1"/>
      <c r="AD60" s="1"/>
    </row>
    <row r="61" spans="1:30" x14ac:dyDescent="0.25">
      <c r="A61" s="33"/>
      <c r="C61" s="5" t="s">
        <v>31</v>
      </c>
      <c r="D61" s="1" t="e">
        <f>E58/D58</f>
        <v>#DIV/0!</v>
      </c>
      <c r="I61" s="5" t="s">
        <v>31</v>
      </c>
      <c r="J61" s="1" t="e">
        <f>K58/J58</f>
        <v>#DIV/0!</v>
      </c>
      <c r="K61" s="1"/>
      <c r="L61" s="1"/>
      <c r="O61" s="5" t="s">
        <v>31</v>
      </c>
      <c r="P61" s="1" t="e">
        <f>Q58/P58</f>
        <v>#DIV/0!</v>
      </c>
      <c r="U61" s="5" t="s">
        <v>31</v>
      </c>
      <c r="V61" s="1" t="e">
        <f>W58/V58</f>
        <v>#DIV/0!</v>
      </c>
      <c r="W61" s="1"/>
      <c r="X61" s="1"/>
      <c r="AA61" s="5" t="s">
        <v>31</v>
      </c>
      <c r="AB61" s="1" t="e">
        <f>AC58/AB58</f>
        <v>#DIV/0!</v>
      </c>
      <c r="AC61" s="1"/>
      <c r="AD61" s="1"/>
    </row>
    <row r="62" spans="1:30" x14ac:dyDescent="0.25">
      <c r="A62" s="33"/>
    </row>
    <row r="63" spans="1:30" x14ac:dyDescent="0.25">
      <c r="A63" s="33"/>
    </row>
    <row r="64" spans="1:30" x14ac:dyDescent="0.25">
      <c r="A64" s="33"/>
      <c r="C64" s="1" t="s">
        <v>3</v>
      </c>
      <c r="D64" s="1" t="s">
        <v>16</v>
      </c>
      <c r="E64" s="1" t="s">
        <v>41</v>
      </c>
      <c r="I64" s="1" t="s">
        <v>3</v>
      </c>
      <c r="J64" s="1" t="s">
        <v>16</v>
      </c>
      <c r="K64" s="1" t="s">
        <v>41</v>
      </c>
      <c r="L64" s="1"/>
      <c r="O64" s="1" t="s">
        <v>3</v>
      </c>
      <c r="P64" s="1" t="s">
        <v>16</v>
      </c>
      <c r="Q64" s="1" t="s">
        <v>41</v>
      </c>
      <c r="U64" s="1" t="s">
        <v>3</v>
      </c>
      <c r="V64" s="1" t="s">
        <v>16</v>
      </c>
      <c r="W64" s="1" t="s">
        <v>41</v>
      </c>
      <c r="X64" s="1"/>
      <c r="AA64" s="1" t="s">
        <v>3</v>
      </c>
      <c r="AB64" s="1" t="s">
        <v>16</v>
      </c>
      <c r="AC64" s="1" t="s">
        <v>41</v>
      </c>
      <c r="AD64" s="1"/>
    </row>
    <row r="65" spans="1:30" x14ac:dyDescent="0.25">
      <c r="A65" s="33"/>
      <c r="C65" s="1">
        <v>1</v>
      </c>
      <c r="D65" s="1" t="e">
        <f>AVERAGEIF(WT_Dark_WABs[Retina],$C65,WT_Dark_WABs[BurstDuration])</f>
        <v>#DIV/0!</v>
      </c>
      <c r="E65" s="1" t="e">
        <f>AVERAGEIF(DTA_Dark_WABs[Retina],$C65,DTA_Dark_WABs[BurstDuration])</f>
        <v>#DIV/0!</v>
      </c>
      <c r="I65" s="1">
        <v>1</v>
      </c>
      <c r="J65" s="1" t="e">
        <f>AVERAGEIF(WT_Dark_WABs[Retina],$I65,WT_Dark_WABs[BurstFiringRate])</f>
        <v>#DIV/0!</v>
      </c>
      <c r="K65" s="1" t="e">
        <f>AVERAGEIF(DTA_Dark_WABs[Retina],$I65,DTA_Dark_WABs[BurstFiringRate])</f>
        <v>#DIV/0!</v>
      </c>
      <c r="L65" s="1"/>
      <c r="O65" s="1">
        <v>1</v>
      </c>
      <c r="P65" s="1" t="e">
        <f>AVERAGEIF(WT_Dark_WABs[Retina],$O65,WT_Dark_WABs[BurstISI])</f>
        <v>#DIV/0!</v>
      </c>
      <c r="Q65" s="1" t="e">
        <f>AVERAGEIF(DTA_Dark_WABs[Retina],$O65,DTA_Dark_WABs[BurstISI])</f>
        <v>#DIV/0!</v>
      </c>
      <c r="U65" s="1">
        <v>1</v>
      </c>
      <c r="V65" s="1" t="e">
        <f>AVERAGEIF(WT_Dark_WABs[Retina],$U65,WT_Dark_WABs[PercentBurstTimeAbove10Hz])</f>
        <v>#DIV/0!</v>
      </c>
      <c r="W65" s="1" t="e">
        <f>AVERAGEIF(DTA_Dark_WABs[Retina],$U65,DTA_Dark_WABs[PercentBurstTimeAbove10Hz])</f>
        <v>#DIV/0!</v>
      </c>
      <c r="X65" s="1"/>
      <c r="AA65" s="1">
        <v>1</v>
      </c>
      <c r="AB65" s="1" t="e">
        <f>AVERAGEIF(WT_Dark_WABs[Retina],$AA65,WT_Dark_WABs[SpikesPerBurst])</f>
        <v>#DIV/0!</v>
      </c>
      <c r="AC65" s="1" t="e">
        <f>AVERAGEIF(DTA_Dark_WABs[Retina],$AA65,DTA_Dark_WABs[SpikesPerBurst])</f>
        <v>#DIV/0!</v>
      </c>
      <c r="AD65" s="1"/>
    </row>
    <row r="66" spans="1:30" x14ac:dyDescent="0.25">
      <c r="A66" s="33"/>
      <c r="C66" s="1">
        <v>2</v>
      </c>
      <c r="D66" s="1" t="e">
        <f>AVERAGEIF(WT_Dark_WABs[Retina],$C66,WT_Dark_WABs[BurstDuration])</f>
        <v>#DIV/0!</v>
      </c>
      <c r="E66" s="1" t="e">
        <f>AVERAGEIF(DTA_Dark_WABs[Retina],$C66,DTA_Dark_WABs[BurstDuration])</f>
        <v>#DIV/0!</v>
      </c>
      <c r="I66" s="1">
        <v>2</v>
      </c>
      <c r="J66" s="1" t="e">
        <f>AVERAGEIF(WT_Dark_WABs[Retina],$I66,WT_Dark_WABs[BurstFiringRate])</f>
        <v>#DIV/0!</v>
      </c>
      <c r="K66" s="1" t="e">
        <f>AVERAGEIF(DTA_Dark_WABs[Retina],$I66,DTA_Dark_WABs[BurstFiringRate])</f>
        <v>#DIV/0!</v>
      </c>
      <c r="L66" s="1"/>
      <c r="O66" s="1">
        <v>2</v>
      </c>
      <c r="P66" s="1" t="e">
        <f>AVERAGEIF(WT_Dark_WABs[Retina],$O66,WT_Dark_WABs[BurstISI])</f>
        <v>#DIV/0!</v>
      </c>
      <c r="Q66" s="1" t="e">
        <f>AVERAGEIF(DTA_Dark_WABs[Retina],$O66,DTA_Dark_WABs[BurstISI])</f>
        <v>#DIV/0!</v>
      </c>
      <c r="U66" s="1">
        <v>2</v>
      </c>
      <c r="V66" s="1" t="e">
        <f>AVERAGEIF(WT_Dark_WABs[Retina],$U66,WT_Dark_WABs[PercentBurstTimeAbove10Hz])</f>
        <v>#DIV/0!</v>
      </c>
      <c r="W66" s="1" t="e">
        <f>AVERAGEIF(DTA_Dark_WABs[Retina],$U66,DTA_Dark_WABs[PercentBurstTimeAbove10Hz])</f>
        <v>#DIV/0!</v>
      </c>
      <c r="X66" s="1"/>
      <c r="AA66" s="1">
        <v>2</v>
      </c>
      <c r="AB66" s="1" t="e">
        <f>AVERAGEIF(WT_Dark_WABs[Retina],$AA66,WT_Dark_WABs[SpikesPerBurst])</f>
        <v>#DIV/0!</v>
      </c>
      <c r="AC66" s="1" t="e">
        <f>AVERAGEIF(DTA_Dark_WABs[Retina],$AA66,DTA_Dark_WABs[SpikesPerBurst])</f>
        <v>#DIV/0!</v>
      </c>
      <c r="AD66" s="1"/>
    </row>
    <row r="67" spans="1:30" x14ac:dyDescent="0.25">
      <c r="A67" s="33"/>
      <c r="C67" s="1">
        <v>3</v>
      </c>
      <c r="D67" s="1" t="e">
        <f>AVERAGEIF(WT_Dark_WABs[Retina],$C67,WT_Dark_WABs[BurstDuration])</f>
        <v>#DIV/0!</v>
      </c>
      <c r="E67" s="1" t="e">
        <f>AVERAGEIF(DTA_Dark_WABs[Retina],$C67,DTA_Dark_WABs[BurstDuration])</f>
        <v>#DIV/0!</v>
      </c>
      <c r="I67" s="1">
        <v>3</v>
      </c>
      <c r="J67" s="1" t="e">
        <f>AVERAGEIF(WT_Dark_WABs[Retina],$I67,WT_Dark_WABs[BurstFiringRate])</f>
        <v>#DIV/0!</v>
      </c>
      <c r="K67" s="1" t="e">
        <f>AVERAGEIF(DTA_Dark_WABs[Retina],$I67,DTA_Dark_WABs[BurstFiringRate])</f>
        <v>#DIV/0!</v>
      </c>
      <c r="L67" s="1"/>
      <c r="O67" s="1">
        <v>3</v>
      </c>
      <c r="P67" s="1" t="e">
        <f>AVERAGEIF(WT_Dark_WABs[Retina],$O67,WT_Dark_WABs[BurstISI])</f>
        <v>#DIV/0!</v>
      </c>
      <c r="Q67" s="1" t="e">
        <f>AVERAGEIF(DTA_Dark_WABs[Retina],$O67,DTA_Dark_WABs[BurstISI])</f>
        <v>#DIV/0!</v>
      </c>
      <c r="S67"/>
      <c r="U67" s="1">
        <v>3</v>
      </c>
      <c r="V67" s="1" t="e">
        <f>AVERAGEIF(WT_Dark_WABs[Retina],$U67,WT_Dark_WABs[PercentBurstTimeAbove10Hz])</f>
        <v>#DIV/0!</v>
      </c>
      <c r="W67" s="1" t="e">
        <f>AVERAGEIF(DTA_Dark_WABs[Retina],$U67,DTA_Dark_WABs[PercentBurstTimeAbove10Hz])</f>
        <v>#DIV/0!</v>
      </c>
      <c r="X67" s="1"/>
      <c r="AA67" s="1">
        <v>3</v>
      </c>
      <c r="AB67" s="1" t="e">
        <f>AVERAGEIF(WT_Dark_WABs[Retina],$AA67,WT_Dark_WABs[SpikesPerBurst])</f>
        <v>#DIV/0!</v>
      </c>
      <c r="AC67" s="1" t="e">
        <f>AVERAGEIF(DTA_Dark_WABs[Retina],$AA67,DTA_Dark_WABs[SpikesPerBurst])</f>
        <v>#DIV/0!</v>
      </c>
      <c r="AD67" s="1"/>
    </row>
    <row r="68" spans="1:30" x14ac:dyDescent="0.25">
      <c r="A68" s="33"/>
      <c r="C68" s="1">
        <v>4</v>
      </c>
      <c r="D68" s="1" t="e">
        <f>AVERAGEIF(WT_Dark_WABs[Retina],$C68,WT_Dark_WABs[BurstDuration])</f>
        <v>#DIV/0!</v>
      </c>
      <c r="E68" s="1" t="e">
        <f>AVERAGEIF(DTA_Dark_WABs[Retina],$C68,DTA_Dark_WABs[BurstDuration])</f>
        <v>#DIV/0!</v>
      </c>
      <c r="I68" s="1">
        <v>4</v>
      </c>
      <c r="J68" s="1" t="e">
        <f>AVERAGEIF(WT_Dark_WABs[Retina],$I68,WT_Dark_WABs[BurstFiringRate])</f>
        <v>#DIV/0!</v>
      </c>
      <c r="K68" s="1" t="e">
        <f>AVERAGEIF(DTA_Dark_WABs[Retina],$I68,DTA_Dark_WABs[BurstFiringRate])</f>
        <v>#DIV/0!</v>
      </c>
      <c r="L68" s="1"/>
      <c r="O68" s="1">
        <v>4</v>
      </c>
      <c r="P68" s="1" t="e">
        <f>AVERAGEIF(WT_Dark_WABs[Retina],$O68,WT_Dark_WABs[BurstISI])</f>
        <v>#DIV/0!</v>
      </c>
      <c r="Q68" s="1" t="e">
        <f>AVERAGEIF(DTA_Dark_WABs[Retina],$O68,DTA_Dark_WABs[BurstISI])</f>
        <v>#DIV/0!</v>
      </c>
      <c r="U68" s="1">
        <v>4</v>
      </c>
      <c r="V68" s="1" t="e">
        <f>AVERAGEIF(WT_Dark_WABs[Retina],$U68,WT_Dark_WABs[PercentBurstTimeAbove10Hz])</f>
        <v>#DIV/0!</v>
      </c>
      <c r="W68" s="1" t="e">
        <f>AVERAGEIF(DTA_Dark_WABs[Retina],$U68,DTA_Dark_WABs[PercentBurstTimeAbove10Hz])</f>
        <v>#DIV/0!</v>
      </c>
      <c r="X68" s="1"/>
      <c r="AA68" s="1">
        <v>4</v>
      </c>
      <c r="AB68" s="1" t="e">
        <f>AVERAGEIF(WT_Dark_WABs[Retina],$AA68,WT_Dark_WABs[SpikesPerBurst])</f>
        <v>#DIV/0!</v>
      </c>
      <c r="AC68" s="1" t="e">
        <f>AVERAGEIF(DTA_Dark_WABs[Retina],$AA68,DTA_Dark_WABs[SpikesPerBurst])</f>
        <v>#DIV/0!</v>
      </c>
      <c r="AD68" s="1"/>
    </row>
    <row r="69" spans="1:30" x14ac:dyDescent="0.25">
      <c r="A69" s="33"/>
      <c r="C69" s="1">
        <v>5</v>
      </c>
      <c r="D69" s="1" t="e">
        <f>AVERAGEIF(WT_Dark_WABs[Retina],$C69,WT_Dark_WABs[BurstDuration])</f>
        <v>#DIV/0!</v>
      </c>
      <c r="E69" s="1" t="e">
        <f>AVERAGEIF(DTA_Dark_WABs[Retina],$C69,DTA_Dark_WABs[BurstDuration])</f>
        <v>#DIV/0!</v>
      </c>
      <c r="I69" s="1">
        <v>5</v>
      </c>
      <c r="J69" s="1" t="e">
        <f>AVERAGEIF(WT_Dark_WABs[Retina],$I69,WT_Dark_WABs[BurstFiringRate])</f>
        <v>#DIV/0!</v>
      </c>
      <c r="K69" s="1" t="e">
        <f>AVERAGEIF(DTA_Dark_WABs[Retina],$I69,DTA_Dark_WABs[BurstFiringRate])</f>
        <v>#DIV/0!</v>
      </c>
      <c r="L69" s="1"/>
      <c r="O69" s="1">
        <v>5</v>
      </c>
      <c r="P69" s="1" t="e">
        <f>AVERAGEIF(WT_Dark_WABs[Retina],$O69,WT_Dark_WABs[BurstISI])</f>
        <v>#DIV/0!</v>
      </c>
      <c r="Q69" s="1" t="e">
        <f>AVERAGEIF(DTA_Dark_WABs[Retina],$O69,DTA_Dark_WABs[BurstISI])</f>
        <v>#DIV/0!</v>
      </c>
      <c r="U69" s="1">
        <v>5</v>
      </c>
      <c r="V69" s="1" t="e">
        <f>AVERAGEIF(WT_Dark_WABs[Retina],$U69,WT_Dark_WABs[PercentBurstTimeAbove10Hz])</f>
        <v>#DIV/0!</v>
      </c>
      <c r="W69" s="1" t="e">
        <f>AVERAGEIF(DTA_Dark_WABs[Retina],$U69,DTA_Dark_WABs[PercentBurstTimeAbove10Hz])</f>
        <v>#DIV/0!</v>
      </c>
      <c r="X69" s="1"/>
      <c r="AA69" s="1">
        <v>5</v>
      </c>
      <c r="AB69" s="1" t="e">
        <f>AVERAGEIF(WT_Dark_WABs[Retina],$AA69,WT_Dark_WABs[SpikesPerBurst])</f>
        <v>#DIV/0!</v>
      </c>
      <c r="AC69" s="1" t="e">
        <f>AVERAGEIF(DTA_Dark_WABs[Retina],$AA69,DTA_Dark_WABs[SpikesPerBurst])</f>
        <v>#DIV/0!</v>
      </c>
      <c r="AD69" s="1"/>
    </row>
    <row r="70" spans="1:30" x14ac:dyDescent="0.25">
      <c r="A70" s="33"/>
      <c r="C70" s="1">
        <v>6</v>
      </c>
      <c r="D70" s="1" t="e">
        <f>AVERAGEIF(WT_Dark_WABs[Retina],$C70,WT_Dark_WABs[BurstDuration])</f>
        <v>#DIV/0!</v>
      </c>
      <c r="E70" s="1" t="e">
        <f>AVERAGEIF(DTA_Dark_WABs[Retina],$C70,DTA_Dark_WABs[BurstDuration])</f>
        <v>#DIV/0!</v>
      </c>
      <c r="I70" s="1">
        <v>6</v>
      </c>
      <c r="J70" s="1" t="e">
        <f>AVERAGEIF(WT_Dark_WABs[Retina],$I70,WT_Dark_WABs[BurstFiringRate])</f>
        <v>#DIV/0!</v>
      </c>
      <c r="K70" s="1" t="e">
        <f>AVERAGEIF(DTA_Dark_WABs[Retina],$I70,DTA_Dark_WABs[BurstFiringRate])</f>
        <v>#DIV/0!</v>
      </c>
      <c r="L70" s="1"/>
      <c r="O70" s="1">
        <v>6</v>
      </c>
      <c r="P70" s="1" t="e">
        <f>AVERAGEIF(WT_Dark_WABs[Retina],$O70,WT_Dark_WABs[BurstISI])</f>
        <v>#DIV/0!</v>
      </c>
      <c r="Q70" s="1" t="e">
        <f>AVERAGEIF(DTA_Dark_WABs[Retina],$O70,DTA_Dark_WABs[BurstISI])</f>
        <v>#DIV/0!</v>
      </c>
      <c r="U70" s="1">
        <v>6</v>
      </c>
      <c r="V70" s="1" t="e">
        <f>AVERAGEIF(WT_Dark_WABs[Retina],$U70,WT_Dark_WABs[PercentBurstTimeAbove10Hz])</f>
        <v>#DIV/0!</v>
      </c>
      <c r="W70" s="1" t="e">
        <f>AVERAGEIF(DTA_Dark_WABs[Retina],$U70,DTA_Dark_WABs[PercentBurstTimeAbove10Hz])</f>
        <v>#DIV/0!</v>
      </c>
      <c r="X70" s="1"/>
      <c r="AA70" s="1">
        <v>6</v>
      </c>
      <c r="AB70" s="1" t="e">
        <f>AVERAGEIF(WT_Dark_WABs[Retina],$AA70,WT_Dark_WABs[SpikesPerBurst])</f>
        <v>#DIV/0!</v>
      </c>
      <c r="AC70" s="1" t="e">
        <f>AVERAGEIF(DTA_Dark_WABs[Retina],$AA70,DTA_Dark_WABs[SpikesPerBurst])</f>
        <v>#DIV/0!</v>
      </c>
      <c r="AD70" s="1"/>
    </row>
    <row r="71" spans="1:30" x14ac:dyDescent="0.25">
      <c r="C71" s="1">
        <v>7</v>
      </c>
      <c r="D71" s="1" t="e">
        <f>AVERAGEIF(WT_Dark_WABs[Retina],$C71,WT_Dark_WABs[BurstDuration])</f>
        <v>#DIV/0!</v>
      </c>
      <c r="E71" s="1" t="e">
        <f>AVERAGEIF(DTA_Dark_WABs[Retina],$C71,DTA_Dark_WABs[BurstDuration])</f>
        <v>#DIV/0!</v>
      </c>
      <c r="I71" s="1">
        <v>7</v>
      </c>
      <c r="J71" s="1" t="e">
        <f>AVERAGEIF(WT_Dark_WABs[Retina],$I71,WT_Dark_WABs[BurstFiringRate])</f>
        <v>#DIV/0!</v>
      </c>
      <c r="K71" s="1" t="e">
        <f>AVERAGEIF(DTA_Dark_WABs[Retina],$I71,DTA_Dark_WABs[BurstFiringRate])</f>
        <v>#DIV/0!</v>
      </c>
      <c r="L71" s="1"/>
      <c r="O71" s="1">
        <v>7</v>
      </c>
      <c r="P71" s="1" t="e">
        <f>AVERAGEIF(WT_Dark_WABs[Retina],$O71,WT_Dark_WABs[BurstISI])</f>
        <v>#DIV/0!</v>
      </c>
      <c r="Q71" s="1" t="e">
        <f>AVERAGEIF(DTA_Dark_WABs[Retina],$O71,DTA_Dark_WABs[BurstISI])</f>
        <v>#DIV/0!</v>
      </c>
      <c r="U71" s="1">
        <v>7</v>
      </c>
      <c r="V71" s="1" t="e">
        <f>AVERAGEIF(WT_Dark_WABs[Retina],$U71,WT_Dark_WABs[PercentBurstTimeAbove10Hz])</f>
        <v>#DIV/0!</v>
      </c>
      <c r="W71" s="1" t="e">
        <f>AVERAGEIF(DTA_Dark_WABs[Retina],$U71,DTA_Dark_WABs[PercentBurstTimeAbove10Hz])</f>
        <v>#DIV/0!</v>
      </c>
      <c r="X71" s="1"/>
      <c r="AA71" s="1">
        <v>7</v>
      </c>
      <c r="AB71" s="1" t="e">
        <f>AVERAGEIF(WT_Dark_WABs[Retina],$AA71,WT_Dark_WABs[SpikesPerBurst])</f>
        <v>#DIV/0!</v>
      </c>
      <c r="AC71" s="1" t="e">
        <f>AVERAGEIF(DTA_Dark_WABs[Retina],$AA71,DTA_Dark_WABs[SpikesPerBurst])</f>
        <v>#DIV/0!</v>
      </c>
      <c r="AD71" s="1"/>
    </row>
    <row r="73" spans="1:30" s="21" customFormat="1" x14ac:dyDescent="0.25">
      <c r="C73" s="22"/>
      <c r="D73" s="22"/>
      <c r="E73" s="22"/>
      <c r="F73" s="22"/>
      <c r="G73" s="22"/>
      <c r="H73" s="22"/>
      <c r="I73" s="22"/>
      <c r="Q73" s="22"/>
      <c r="R73" s="22"/>
      <c r="S73" s="22"/>
    </row>
    <row r="76" spans="1:30" ht="15" customHeight="1" x14ac:dyDescent="0.25">
      <c r="A76" s="34" t="s">
        <v>26</v>
      </c>
      <c r="Q76"/>
      <c r="R76"/>
      <c r="S76"/>
    </row>
    <row r="77" spans="1:30" x14ac:dyDescent="0.25">
      <c r="A77" s="34"/>
    </row>
    <row r="78" spans="1:30" x14ac:dyDescent="0.25">
      <c r="A78" s="34"/>
    </row>
    <row r="79" spans="1:30" x14ac:dyDescent="0.25">
      <c r="A79" s="34"/>
    </row>
    <row r="80" spans="1:30" x14ac:dyDescent="0.25">
      <c r="A80" s="34"/>
    </row>
    <row r="81" spans="1:29" x14ac:dyDescent="0.25">
      <c r="A81" s="34"/>
    </row>
    <row r="82" spans="1:29" x14ac:dyDescent="0.25">
      <c r="A82" s="34"/>
    </row>
    <row r="83" spans="1:29" x14ac:dyDescent="0.25">
      <c r="A83" s="34"/>
    </row>
    <row r="84" spans="1:29" x14ac:dyDescent="0.25">
      <c r="A84" s="34"/>
    </row>
    <row r="85" spans="1:29" x14ac:dyDescent="0.25">
      <c r="A85" s="34"/>
    </row>
    <row r="86" spans="1:29" x14ac:dyDescent="0.25">
      <c r="A86" s="34"/>
    </row>
    <row r="87" spans="1:29" x14ac:dyDescent="0.25">
      <c r="A87" s="34"/>
    </row>
    <row r="88" spans="1:29" x14ac:dyDescent="0.25">
      <c r="A88" s="34"/>
    </row>
    <row r="89" spans="1:29" x14ac:dyDescent="0.25">
      <c r="A89" s="34"/>
    </row>
    <row r="90" spans="1:29" x14ac:dyDescent="0.25">
      <c r="A90" s="34"/>
    </row>
    <row r="91" spans="1:29" x14ac:dyDescent="0.25">
      <c r="A91" s="34"/>
    </row>
    <row r="92" spans="1:29" x14ac:dyDescent="0.25">
      <c r="A92" s="34"/>
      <c r="Q92"/>
      <c r="R92"/>
      <c r="S92"/>
    </row>
    <row r="93" spans="1:29" x14ac:dyDescent="0.25">
      <c r="A93" s="34"/>
    </row>
    <row r="94" spans="1:29" x14ac:dyDescent="0.25">
      <c r="A94" s="34"/>
    </row>
    <row r="95" spans="1:29" ht="15.75" thickBot="1" x14ac:dyDescent="0.3">
      <c r="A95" s="34"/>
      <c r="C95" s="31" t="s">
        <v>10</v>
      </c>
      <c r="D95" s="31"/>
      <c r="E95" s="31"/>
      <c r="F95"/>
      <c r="I95" s="31" t="s">
        <v>28</v>
      </c>
      <c r="J95" s="31"/>
      <c r="K95" s="31"/>
      <c r="O95" s="31" t="s">
        <v>29</v>
      </c>
      <c r="P95" s="31"/>
      <c r="Q95" s="31"/>
      <c r="R95"/>
      <c r="U95" s="31" t="s">
        <v>30</v>
      </c>
      <c r="V95" s="31"/>
      <c r="W95" s="31"/>
      <c r="AA95" s="31" t="s">
        <v>11</v>
      </c>
      <c r="AB95" s="31"/>
      <c r="AC95" s="31"/>
    </row>
    <row r="96" spans="1:29" ht="15.75" thickBot="1" x14ac:dyDescent="0.3">
      <c r="A96" s="34"/>
      <c r="C96" s="4"/>
      <c r="D96" s="29" t="s">
        <v>40</v>
      </c>
      <c r="E96" s="7" t="s">
        <v>38</v>
      </c>
      <c r="F96"/>
      <c r="I96" s="4"/>
      <c r="J96" s="29" t="s">
        <v>40</v>
      </c>
      <c r="K96" s="7" t="s">
        <v>38</v>
      </c>
      <c r="O96" s="4"/>
      <c r="P96" s="29" t="s">
        <v>40</v>
      </c>
      <c r="Q96" s="7" t="s">
        <v>38</v>
      </c>
      <c r="R96"/>
      <c r="U96" s="4"/>
      <c r="V96" s="29" t="s">
        <v>40</v>
      </c>
      <c r="W96" s="7" t="s">
        <v>38</v>
      </c>
      <c r="AA96" s="4"/>
      <c r="AB96" s="29" t="s">
        <v>40</v>
      </c>
      <c r="AC96" s="7" t="s">
        <v>38</v>
      </c>
    </row>
    <row r="97" spans="1:30" x14ac:dyDescent="0.25">
      <c r="A97" s="34"/>
      <c r="C97" s="8" t="s">
        <v>4</v>
      </c>
      <c r="D97" s="30" t="e">
        <f>AVERAGE(WT_Dark_NonWABs[BurstDuration])</f>
        <v>#DIV/0!</v>
      </c>
      <c r="E97" s="6" t="e">
        <f>AVERAGE(DTA_Dark_NonWABs[BurstDuration])</f>
        <v>#DIV/0!</v>
      </c>
      <c r="F97"/>
      <c r="I97" s="8" t="s">
        <v>4</v>
      </c>
      <c r="J97" s="30" t="e">
        <f>AVERAGE(WT_Dark_NonWABs[BurstFiringRate])</f>
        <v>#DIV/0!</v>
      </c>
      <c r="K97" s="6" t="e">
        <f>AVERAGE(DTA_Dark_NonWABs[BurstFiringRate])</f>
        <v>#DIV/0!</v>
      </c>
      <c r="O97" s="8" t="s">
        <v>4</v>
      </c>
      <c r="P97" s="30" t="e">
        <f>AVERAGE(WT_Dark_NonWABs[BurstISI])</f>
        <v>#DIV/0!</v>
      </c>
      <c r="Q97" s="6" t="e">
        <f>AVERAGE(DTA_Dark_NonWABs[BurstISI])</f>
        <v>#DIV/0!</v>
      </c>
      <c r="R97"/>
      <c r="U97" s="8" t="s">
        <v>4</v>
      </c>
      <c r="V97" s="30" t="e">
        <f>AVERAGE(WT_Dark_NonWABs[PercentBurstTimeAbove10Hz])</f>
        <v>#DIV/0!</v>
      </c>
      <c r="W97" s="6" t="e">
        <f>AVERAGE(DTA_Dark_NonWABs[PercentBurstTimeAbove10Hz])</f>
        <v>#DIV/0!</v>
      </c>
      <c r="AA97" s="8" t="s">
        <v>4</v>
      </c>
      <c r="AB97" s="30" t="e">
        <f>AVERAGE(WT_Dark_NonWABs[SpikesPerBurst])</f>
        <v>#DIV/0!</v>
      </c>
      <c r="AC97" s="6" t="e">
        <f>AVERAGE(DTA_Dark_NonWABs[SpikesPerBurst])</f>
        <v>#DIV/0!</v>
      </c>
    </row>
    <row r="98" spans="1:30" ht="15.75" thickBot="1" x14ac:dyDescent="0.3">
      <c r="A98" s="34"/>
      <c r="C98" s="3" t="s">
        <v>2</v>
      </c>
      <c r="D98" s="28" t="e">
        <f>sem(WT_Dark_NonWABs[BurstDuration])</f>
        <v>#VALUE!</v>
      </c>
      <c r="E98" s="2" t="e">
        <f>sem(DTA_Dark_NonWABs[BurstDuration])</f>
        <v>#VALUE!</v>
      </c>
      <c r="F98"/>
      <c r="I98" s="3" t="s">
        <v>2</v>
      </c>
      <c r="J98" s="28" t="e">
        <f>sem(WT_Dark_NonWABs[BurstFiringRate])</f>
        <v>#VALUE!</v>
      </c>
      <c r="K98" s="2" t="e">
        <f>sem(DTA_Dark_NonWABs[BurstFiringRate])</f>
        <v>#VALUE!</v>
      </c>
      <c r="O98" s="3" t="s">
        <v>2</v>
      </c>
      <c r="P98" s="28" t="e">
        <f>sem(WT_Dark_NonWABs[BurstISI])</f>
        <v>#VALUE!</v>
      </c>
      <c r="Q98" s="2" t="e">
        <f>sem(DTA_Dark_NonWABs[BurstISI])</f>
        <v>#VALUE!</v>
      </c>
      <c r="R98"/>
      <c r="U98" s="3" t="s">
        <v>2</v>
      </c>
      <c r="V98" s="28" t="e">
        <f>sem(WT_Dark_NonWABs[PercentBurstTimeAbove10Hz])</f>
        <v>#VALUE!</v>
      </c>
      <c r="W98" s="2" t="e">
        <f>sem(DTA_Dark_NonWABs[PercentBurstTimeAbove10Hz])</f>
        <v>#VALUE!</v>
      </c>
      <c r="AA98" s="3" t="s">
        <v>2</v>
      </c>
      <c r="AB98" s="28" t="e">
        <f>sem(WT_Dark_NonWABs[SpikesPerBurst])</f>
        <v>#VALUE!</v>
      </c>
      <c r="AC98" s="2" t="e">
        <f>sem(DTA_Dark_NonWABs[SpikesPerBurst])</f>
        <v>#VALUE!</v>
      </c>
    </row>
    <row r="99" spans="1:30" x14ac:dyDescent="0.25">
      <c r="A99" s="34"/>
      <c r="C99" s="5" t="s">
        <v>32</v>
      </c>
      <c r="D99" s="1" t="e">
        <f>(E97-D97)/D97*100</f>
        <v>#DIV/0!</v>
      </c>
      <c r="I99" s="5" t="s">
        <v>32</v>
      </c>
      <c r="J99" s="1" t="e">
        <f>(K97-J97)/J97*100</f>
        <v>#DIV/0!</v>
      </c>
      <c r="K99" s="1"/>
      <c r="L99" s="1"/>
      <c r="O99" s="5" t="s">
        <v>32</v>
      </c>
      <c r="P99" s="1" t="e">
        <f>(Q97-P97)/P97*100</f>
        <v>#DIV/0!</v>
      </c>
      <c r="U99" s="5" t="s">
        <v>32</v>
      </c>
      <c r="V99" s="1" t="e">
        <f>(W97-V97)/V97*100</f>
        <v>#DIV/0!</v>
      </c>
      <c r="W99" s="1"/>
      <c r="X99" s="1"/>
      <c r="AA99" s="5" t="s">
        <v>32</v>
      </c>
      <c r="AB99" s="1" t="e">
        <f>(AC97-AB97)/AB97*100</f>
        <v>#DIV/0!</v>
      </c>
      <c r="AC99" s="1"/>
      <c r="AD99" s="1"/>
    </row>
    <row r="100" spans="1:30" x14ac:dyDescent="0.25">
      <c r="A100" s="34"/>
      <c r="C100" s="5" t="s">
        <v>31</v>
      </c>
      <c r="D100" s="1" t="e">
        <f>E97/D97</f>
        <v>#DIV/0!</v>
      </c>
      <c r="I100" s="5" t="s">
        <v>31</v>
      </c>
      <c r="J100" s="1" t="e">
        <f>K97/J97</f>
        <v>#DIV/0!</v>
      </c>
      <c r="K100" s="1"/>
      <c r="L100" s="1"/>
      <c r="O100" s="5" t="s">
        <v>31</v>
      </c>
      <c r="P100" s="1" t="e">
        <f>Q97/P97</f>
        <v>#DIV/0!</v>
      </c>
      <c r="U100" s="5" t="s">
        <v>31</v>
      </c>
      <c r="V100" s="1" t="e">
        <f>W97/V97</f>
        <v>#DIV/0!</v>
      </c>
      <c r="W100" s="1"/>
      <c r="X100" s="1"/>
      <c r="AA100" s="5" t="s">
        <v>31</v>
      </c>
      <c r="AB100" s="1" t="e">
        <f>AC97/AB97</f>
        <v>#DIV/0!</v>
      </c>
      <c r="AC100" s="1"/>
      <c r="AD100" s="1"/>
    </row>
    <row r="101" spans="1:30" x14ac:dyDescent="0.25">
      <c r="A101" s="34"/>
    </row>
    <row r="102" spans="1:30" x14ac:dyDescent="0.25">
      <c r="A102" s="34"/>
    </row>
    <row r="103" spans="1:30" x14ac:dyDescent="0.25">
      <c r="A103" s="34"/>
      <c r="C103" s="1" t="s">
        <v>3</v>
      </c>
      <c r="D103" s="1" t="s">
        <v>16</v>
      </c>
      <c r="E103" s="1" t="s">
        <v>41</v>
      </c>
      <c r="I103" s="1" t="s">
        <v>3</v>
      </c>
      <c r="J103" s="1" t="s">
        <v>16</v>
      </c>
      <c r="K103" s="1" t="s">
        <v>41</v>
      </c>
      <c r="L103" s="1"/>
      <c r="O103" s="1" t="s">
        <v>3</v>
      </c>
      <c r="P103" s="1" t="s">
        <v>16</v>
      </c>
      <c r="Q103" s="1" t="s">
        <v>41</v>
      </c>
      <c r="U103" s="1" t="s">
        <v>3</v>
      </c>
      <c r="V103" s="1" t="s">
        <v>16</v>
      </c>
      <c r="W103" s="1" t="s">
        <v>41</v>
      </c>
      <c r="X103" s="1"/>
      <c r="AA103" s="1" t="s">
        <v>3</v>
      </c>
      <c r="AB103" s="1" t="s">
        <v>16</v>
      </c>
      <c r="AC103" s="1" t="s">
        <v>41</v>
      </c>
      <c r="AD103" s="1"/>
    </row>
    <row r="104" spans="1:30" x14ac:dyDescent="0.25">
      <c r="A104" s="34"/>
      <c r="C104" s="1">
        <v>1</v>
      </c>
      <c r="D104" s="1" t="e">
        <f>AVERAGEIF(WT_Dark_NonWABs[Retina],$C104,WT_Dark_NonWABs[BurstDuration])</f>
        <v>#DIV/0!</v>
      </c>
      <c r="E104" s="1" t="e">
        <f>AVERAGEIF(DTA_Dark_NonWABs[Retina],$C104,DTA_Dark_NonWABs[BurstDuration])</f>
        <v>#DIV/0!</v>
      </c>
      <c r="I104" s="1">
        <v>1</v>
      </c>
      <c r="J104" s="1" t="e">
        <f>AVERAGEIF(WT_Dark_NonWABs[Retina],$I104,WT_Dark_NonWABs[BurstFiringRate])</f>
        <v>#DIV/0!</v>
      </c>
      <c r="K104" s="1" t="e">
        <f>AVERAGEIF(DTA_Dark_NonWABs[Retina],$I104,DTA_Dark_NonWABs[BurstFiringRate])</f>
        <v>#DIV/0!</v>
      </c>
      <c r="L104" s="1"/>
      <c r="O104" s="1">
        <v>1</v>
      </c>
      <c r="P104" s="1" t="e">
        <f>AVERAGEIF(WT_Dark_NonWABs[Retina],$O104,WT_Dark_NonWABs[BurstISI])</f>
        <v>#DIV/0!</v>
      </c>
      <c r="Q104" s="1" t="e">
        <f>AVERAGEIF(DTA_Dark_NonWABs[Retina],$O104,DTA_Dark_NonWABs[BurstISI])</f>
        <v>#DIV/0!</v>
      </c>
      <c r="U104" s="1">
        <v>1</v>
      </c>
      <c r="V104" s="1" t="e">
        <f>AVERAGEIF(WT_Dark_NonWABs[Retina],$U104,WT_Dark_NonWABs[PercentBurstTimeAbove10Hz])</f>
        <v>#DIV/0!</v>
      </c>
      <c r="W104" s="1" t="e">
        <f>AVERAGEIF(DTA_Dark_NonWABs[Retina],$U104,DTA_Dark_NonWABs[PercentBurstTimeAbove10Hz])</f>
        <v>#DIV/0!</v>
      </c>
      <c r="X104" s="1"/>
      <c r="AA104" s="1">
        <v>1</v>
      </c>
      <c r="AB104" s="1" t="e">
        <f>AVERAGEIF(WT_Dark_NonWABs[Retina],$AA104,WT_Dark_NonWABs[SpikesPerBurst])</f>
        <v>#DIV/0!</v>
      </c>
      <c r="AC104" s="1" t="e">
        <f>AVERAGEIF(DTA_Dark_NonWABs[Retina],$AA104,DTA_Dark_NonWABs[SpikesPerBurst])</f>
        <v>#DIV/0!</v>
      </c>
      <c r="AD104" s="1"/>
    </row>
    <row r="105" spans="1:30" x14ac:dyDescent="0.25">
      <c r="A105" s="34"/>
      <c r="C105" s="1">
        <v>2</v>
      </c>
      <c r="D105" s="1" t="e">
        <f>AVERAGEIF(WT_Dark_NonWABs[Retina],$C105,WT_Dark_NonWABs[BurstDuration])</f>
        <v>#DIV/0!</v>
      </c>
      <c r="E105" s="1" t="e">
        <f>AVERAGEIF(DTA_Dark_NonWABs[Retina],$C105,DTA_Dark_NonWABs[BurstDuration])</f>
        <v>#DIV/0!</v>
      </c>
      <c r="I105" s="1">
        <v>2</v>
      </c>
      <c r="J105" s="1" t="e">
        <f>AVERAGEIF(WT_Dark_NonWABs[Retina],$I105,WT_Dark_NonWABs[BurstFiringRate])</f>
        <v>#DIV/0!</v>
      </c>
      <c r="K105" s="1" t="e">
        <f>AVERAGEIF(DTA_Dark_NonWABs[Retina],$I105,DTA_Dark_NonWABs[BurstFiringRate])</f>
        <v>#DIV/0!</v>
      </c>
      <c r="L105" s="1"/>
      <c r="O105" s="1">
        <v>2</v>
      </c>
      <c r="P105" s="1" t="e">
        <f>AVERAGEIF(WT_Dark_NonWABs[Retina],$O105,WT_Dark_NonWABs[BurstISI])</f>
        <v>#DIV/0!</v>
      </c>
      <c r="Q105" s="1" t="e">
        <f>AVERAGEIF(DTA_Dark_NonWABs[Retina],$O105,DTA_Dark_NonWABs[BurstISI])</f>
        <v>#DIV/0!</v>
      </c>
      <c r="U105" s="1">
        <v>2</v>
      </c>
      <c r="V105" s="1" t="e">
        <f>AVERAGEIF(WT_Dark_NonWABs[Retina],$U105,WT_Dark_NonWABs[PercentBurstTimeAbove10Hz])</f>
        <v>#DIV/0!</v>
      </c>
      <c r="W105" s="1" t="e">
        <f>AVERAGEIF(DTA_Dark_NonWABs[Retina],$U105,DTA_Dark_NonWABs[PercentBurstTimeAbove10Hz])</f>
        <v>#DIV/0!</v>
      </c>
      <c r="X105" s="1"/>
      <c r="AA105" s="1">
        <v>2</v>
      </c>
      <c r="AB105" s="1" t="e">
        <f>AVERAGEIF(WT_Dark_NonWABs[Retina],$AA105,WT_Dark_NonWABs[SpikesPerBurst])</f>
        <v>#DIV/0!</v>
      </c>
      <c r="AC105" s="1" t="e">
        <f>AVERAGEIF(DTA_Dark_NonWABs[Retina],$AA105,DTA_Dark_NonWABs[SpikesPerBurst])</f>
        <v>#DIV/0!</v>
      </c>
      <c r="AD105" s="1"/>
    </row>
    <row r="106" spans="1:30" x14ac:dyDescent="0.25">
      <c r="A106" s="34"/>
      <c r="C106" s="1">
        <v>3</v>
      </c>
      <c r="D106" s="1" t="e">
        <f>AVERAGEIF(WT_Dark_NonWABs[Retina],$C106,WT_Dark_NonWABs[BurstDuration])</f>
        <v>#DIV/0!</v>
      </c>
      <c r="E106" s="1" t="e">
        <f>AVERAGEIF(DTA_Dark_NonWABs[Retina],$C106,DTA_Dark_NonWABs[BurstDuration])</f>
        <v>#DIV/0!</v>
      </c>
      <c r="I106" s="1">
        <v>3</v>
      </c>
      <c r="J106" s="1" t="e">
        <f>AVERAGEIF(WT_Dark_NonWABs[Retina],$I106,WT_Dark_NonWABs[BurstFiringRate])</f>
        <v>#DIV/0!</v>
      </c>
      <c r="K106" s="1" t="e">
        <f>AVERAGEIF(DTA_Dark_NonWABs[Retina],$I106,DTA_Dark_NonWABs[BurstFiringRate])</f>
        <v>#DIV/0!</v>
      </c>
      <c r="L106" s="1"/>
      <c r="O106" s="1">
        <v>3</v>
      </c>
      <c r="P106" s="1" t="e">
        <f>AVERAGEIF(WT_Dark_NonWABs[Retina],$O106,WT_Dark_NonWABs[BurstISI])</f>
        <v>#DIV/0!</v>
      </c>
      <c r="Q106" s="1" t="e">
        <f>AVERAGEIF(DTA_Dark_NonWABs[Retina],$O106,DTA_Dark_NonWABs[BurstISI])</f>
        <v>#DIV/0!</v>
      </c>
      <c r="S106"/>
      <c r="U106" s="1">
        <v>3</v>
      </c>
      <c r="V106" s="1" t="e">
        <f>AVERAGEIF(WT_Dark_NonWABs[Retina],$U106,WT_Dark_NonWABs[PercentBurstTimeAbove10Hz])</f>
        <v>#DIV/0!</v>
      </c>
      <c r="W106" s="1" t="e">
        <f>AVERAGEIF(DTA_Dark_NonWABs[Retina],$U106,DTA_Dark_NonWABs[PercentBurstTimeAbove10Hz])</f>
        <v>#DIV/0!</v>
      </c>
      <c r="X106" s="1"/>
      <c r="AA106" s="1">
        <v>3</v>
      </c>
      <c r="AB106" s="1" t="e">
        <f>AVERAGEIF(WT_Dark_NonWABs[Retina],$AA106,WT_Dark_NonWABs[SpikesPerBurst])</f>
        <v>#DIV/0!</v>
      </c>
      <c r="AC106" s="1" t="e">
        <f>AVERAGEIF(DTA_Dark_NonWABs[Retina],$AA106,DTA_Dark_NonWABs[SpikesPerBurst])</f>
        <v>#DIV/0!</v>
      </c>
      <c r="AD106" s="1"/>
    </row>
    <row r="107" spans="1:30" x14ac:dyDescent="0.25">
      <c r="A107" s="34"/>
      <c r="C107" s="1">
        <v>4</v>
      </c>
      <c r="D107" s="1" t="e">
        <f>AVERAGEIF(WT_Dark_NonWABs[Retina],$C107,WT_Dark_NonWABs[BurstDuration])</f>
        <v>#DIV/0!</v>
      </c>
      <c r="E107" s="1" t="e">
        <f>AVERAGEIF(DTA_Dark_NonWABs[Retina],$C107,DTA_Dark_NonWABs[BurstDuration])</f>
        <v>#DIV/0!</v>
      </c>
      <c r="I107" s="1">
        <v>4</v>
      </c>
      <c r="J107" s="1" t="e">
        <f>AVERAGEIF(WT_Dark_NonWABs[Retina],$I107,WT_Dark_NonWABs[BurstFiringRate])</f>
        <v>#DIV/0!</v>
      </c>
      <c r="K107" s="1" t="e">
        <f>AVERAGEIF(DTA_Dark_NonWABs[Retina],$I107,DTA_Dark_NonWABs[BurstFiringRate])</f>
        <v>#DIV/0!</v>
      </c>
      <c r="L107" s="1"/>
      <c r="O107" s="1">
        <v>4</v>
      </c>
      <c r="P107" s="1" t="e">
        <f>AVERAGEIF(WT_Dark_NonWABs[Retina],$O107,WT_Dark_NonWABs[BurstISI])</f>
        <v>#DIV/0!</v>
      </c>
      <c r="Q107" s="1" t="e">
        <f>AVERAGEIF(DTA_Dark_NonWABs[Retina],$O107,DTA_Dark_NonWABs[BurstISI])</f>
        <v>#DIV/0!</v>
      </c>
      <c r="U107" s="1">
        <v>4</v>
      </c>
      <c r="V107" s="1" t="e">
        <f>AVERAGEIF(WT_Dark_NonWABs[Retina],$U107,WT_Dark_NonWABs[PercentBurstTimeAbove10Hz])</f>
        <v>#DIV/0!</v>
      </c>
      <c r="W107" s="1" t="e">
        <f>AVERAGEIF(DTA_Dark_NonWABs[Retina],$U107,DTA_Dark_NonWABs[PercentBurstTimeAbove10Hz])</f>
        <v>#DIV/0!</v>
      </c>
      <c r="X107" s="1"/>
      <c r="AA107" s="1">
        <v>4</v>
      </c>
      <c r="AB107" s="1" t="e">
        <f>AVERAGEIF(WT_Dark_NonWABs[Retina],$AA107,WT_Dark_NonWABs[SpikesPerBurst])</f>
        <v>#DIV/0!</v>
      </c>
      <c r="AC107" s="1" t="e">
        <f>AVERAGEIF(DTA_Dark_NonWABs[Retina],$AA107,DTA_Dark_NonWABs[SpikesPerBurst])</f>
        <v>#DIV/0!</v>
      </c>
      <c r="AD107" s="1"/>
    </row>
    <row r="108" spans="1:30" x14ac:dyDescent="0.25">
      <c r="A108" s="34"/>
      <c r="C108" s="1">
        <v>5</v>
      </c>
      <c r="D108" s="1" t="e">
        <f>AVERAGEIF(WT_Dark_NonWABs[Retina],$C108,WT_Dark_NonWABs[BurstDuration])</f>
        <v>#DIV/0!</v>
      </c>
      <c r="E108" s="1" t="e">
        <f>AVERAGEIF(DTA_Dark_NonWABs[Retina],$C108,DTA_Dark_NonWABs[BurstDuration])</f>
        <v>#DIV/0!</v>
      </c>
      <c r="I108" s="1">
        <v>5</v>
      </c>
      <c r="J108" s="1" t="e">
        <f>AVERAGEIF(WT_Dark_NonWABs[Retina],$I108,WT_Dark_NonWABs[BurstFiringRate])</f>
        <v>#DIV/0!</v>
      </c>
      <c r="K108" s="1" t="e">
        <f>AVERAGEIF(DTA_Dark_NonWABs[Retina],$I108,DTA_Dark_NonWABs[BurstFiringRate])</f>
        <v>#DIV/0!</v>
      </c>
      <c r="L108" s="1"/>
      <c r="O108" s="1">
        <v>5</v>
      </c>
      <c r="P108" s="1" t="e">
        <f>AVERAGEIF(WT_Dark_NonWABs[Retina],$O108,WT_Dark_NonWABs[BurstISI])</f>
        <v>#DIV/0!</v>
      </c>
      <c r="Q108" s="1" t="e">
        <f>AVERAGEIF(DTA_Dark_NonWABs[Retina],$O108,DTA_Dark_NonWABs[BurstISI])</f>
        <v>#DIV/0!</v>
      </c>
      <c r="U108" s="1">
        <v>5</v>
      </c>
      <c r="V108" s="1" t="e">
        <f>AVERAGEIF(WT_Dark_NonWABs[Retina],$U108,WT_Dark_NonWABs[PercentBurstTimeAbove10Hz])</f>
        <v>#DIV/0!</v>
      </c>
      <c r="W108" s="1" t="e">
        <f>AVERAGEIF(DTA_Dark_NonWABs[Retina],$U108,DTA_Dark_NonWABs[PercentBurstTimeAbove10Hz])</f>
        <v>#DIV/0!</v>
      </c>
      <c r="X108" s="1"/>
      <c r="AA108" s="1">
        <v>5</v>
      </c>
      <c r="AB108" s="1" t="e">
        <f>AVERAGEIF(WT_Dark_NonWABs[Retina],$AA108,WT_Dark_NonWABs[SpikesPerBurst])</f>
        <v>#DIV/0!</v>
      </c>
      <c r="AC108" s="1" t="e">
        <f>AVERAGEIF(DTA_Dark_NonWABs[Retina],$AA108,DTA_Dark_NonWABs[SpikesPerBurst])</f>
        <v>#DIV/0!</v>
      </c>
      <c r="AD108" s="1"/>
    </row>
    <row r="109" spans="1:30" x14ac:dyDescent="0.25">
      <c r="A109" s="34"/>
      <c r="C109" s="1">
        <v>6</v>
      </c>
      <c r="D109" s="1" t="e">
        <f>AVERAGEIF(WT_Dark_NonWABs[Retina],$C109,WT_Dark_NonWABs[BurstDuration])</f>
        <v>#DIV/0!</v>
      </c>
      <c r="E109" s="1" t="e">
        <f>AVERAGEIF(DTA_Dark_NonWABs[Retina],$C109,DTA_Dark_NonWABs[BurstDuration])</f>
        <v>#DIV/0!</v>
      </c>
      <c r="I109" s="1">
        <v>6</v>
      </c>
      <c r="J109" s="1" t="e">
        <f>AVERAGEIF(WT_Dark_NonWABs[Retina],$I109,WT_Dark_NonWABs[BurstFiringRate])</f>
        <v>#DIV/0!</v>
      </c>
      <c r="K109" s="1" t="e">
        <f>AVERAGEIF(DTA_Dark_NonWABs[Retina],$I109,DTA_Dark_NonWABs[BurstFiringRate])</f>
        <v>#DIV/0!</v>
      </c>
      <c r="L109" s="1"/>
      <c r="O109" s="1">
        <v>6</v>
      </c>
      <c r="P109" s="1" t="e">
        <f>AVERAGEIF(WT_Dark_NonWABs[Retina],$O109,WT_Dark_NonWABs[BurstISI])</f>
        <v>#DIV/0!</v>
      </c>
      <c r="Q109" s="1" t="e">
        <f>AVERAGEIF(DTA_Dark_NonWABs[Retina],$O109,DTA_Dark_NonWABs[BurstISI])</f>
        <v>#DIV/0!</v>
      </c>
      <c r="U109" s="1">
        <v>6</v>
      </c>
      <c r="V109" s="1" t="e">
        <f>AVERAGEIF(WT_Dark_NonWABs[Retina],$U109,WT_Dark_NonWABs[PercentBurstTimeAbove10Hz])</f>
        <v>#DIV/0!</v>
      </c>
      <c r="W109" s="1" t="e">
        <f>AVERAGEIF(DTA_Dark_NonWABs[Retina],$U109,DTA_Dark_NonWABs[PercentBurstTimeAbove10Hz])</f>
        <v>#DIV/0!</v>
      </c>
      <c r="X109" s="1"/>
      <c r="AA109" s="1">
        <v>6</v>
      </c>
      <c r="AB109" s="1" t="e">
        <f>AVERAGEIF(WT_Dark_NonWABs[Retina],$AA109,WT_Dark_NonWABs[SpikesPerBurst])</f>
        <v>#DIV/0!</v>
      </c>
      <c r="AC109" s="1" t="e">
        <f>AVERAGEIF(DTA_Dark_NonWABs[Retina],$AA109,DTA_Dark_NonWABs[SpikesPerBurst])</f>
        <v>#DIV/0!</v>
      </c>
      <c r="AD109" s="1"/>
    </row>
    <row r="110" spans="1:30" x14ac:dyDescent="0.25">
      <c r="C110" s="1">
        <v>7</v>
      </c>
      <c r="D110" s="1" t="e">
        <f>AVERAGEIF(WT_Dark_NonWABs[Retina],$C110,WT_Dark_NonWABs[BurstDuration])</f>
        <v>#DIV/0!</v>
      </c>
      <c r="E110" s="1" t="e">
        <f>AVERAGEIF(DTA_Dark_NonWABs[Retina],$C110,DTA_Dark_NonWABs[BurstDuration])</f>
        <v>#DIV/0!</v>
      </c>
      <c r="I110" s="1">
        <v>7</v>
      </c>
      <c r="J110" s="1" t="e">
        <f>AVERAGEIF(WT_Dark_NonWABs[Retina],$I110,WT_Dark_NonWABs[BurstFiringRate])</f>
        <v>#DIV/0!</v>
      </c>
      <c r="K110" s="1" t="e">
        <f>AVERAGEIF(DTA_Dark_NonWABs[Retina],$I110,DTA_Dark_NonWABs[BurstFiringRate])</f>
        <v>#DIV/0!</v>
      </c>
      <c r="L110" s="1"/>
      <c r="O110" s="1">
        <v>7</v>
      </c>
      <c r="P110" s="1" t="e">
        <f>AVERAGEIF(WT_Dark_NonWABs[Retina],$O110,WT_Dark_NonWABs[BurstISI])</f>
        <v>#DIV/0!</v>
      </c>
      <c r="Q110" s="1" t="e">
        <f>AVERAGEIF(DTA_Dark_NonWABs[Retina],$O110,DTA_Dark_NonWABs[BurstISI])</f>
        <v>#DIV/0!</v>
      </c>
      <c r="U110" s="1">
        <v>7</v>
      </c>
      <c r="V110" s="1" t="e">
        <f>AVERAGEIF(WT_Dark_NonWABs[Retina],$U110,WT_Dark_NonWABs[PercentBurstTimeAbove10Hz])</f>
        <v>#DIV/0!</v>
      </c>
      <c r="W110" s="1" t="e">
        <f>AVERAGEIF(DTA_Dark_NonWABs[Retina],$U110,DTA_Dark_NonWABs[PercentBurstTimeAbove10Hz])</f>
        <v>#DIV/0!</v>
      </c>
      <c r="X110" s="1"/>
      <c r="AA110" s="1">
        <v>7</v>
      </c>
      <c r="AB110" s="1" t="e">
        <f>AVERAGEIF(WT_Dark_NonWABs[Retina],$AA110,WT_Dark_NonWABs[SpikesPerBurst])</f>
        <v>#DIV/0!</v>
      </c>
      <c r="AC110" s="1" t="e">
        <f>AVERAGEIF(DTA_Dark_NonWABs[Retina],$AA110,DTA_Dark_NonWABs[SpikesPerBurst])</f>
        <v>#DIV/0!</v>
      </c>
      <c r="AD110" s="1"/>
    </row>
  </sheetData>
  <mergeCells count="18">
    <mergeCell ref="U56:W56"/>
    <mergeCell ref="AA56:AC56"/>
    <mergeCell ref="O95:Q95"/>
    <mergeCell ref="U95:W95"/>
    <mergeCell ref="AA95:AC95"/>
    <mergeCell ref="A1:A31"/>
    <mergeCell ref="A37:A70"/>
    <mergeCell ref="A76:A109"/>
    <mergeCell ref="C17:E17"/>
    <mergeCell ref="I17:K17"/>
    <mergeCell ref="C56:E56"/>
    <mergeCell ref="I56:K56"/>
    <mergeCell ref="C95:E95"/>
    <mergeCell ref="I95:K95"/>
    <mergeCell ref="O17:Q17"/>
    <mergeCell ref="U17:W17"/>
    <mergeCell ref="AA17:AC17"/>
    <mergeCell ref="O56:Q56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"/>
  <sheetViews>
    <sheetView workbookViewId="0">
      <selection activeCell="B3" sqref="B3"/>
    </sheetView>
  </sheetViews>
  <sheetFormatPr defaultRowHeight="15" x14ac:dyDescent="0.25"/>
  <cols>
    <col min="1" max="1" width="9" style="23" bestFit="1" customWidth="1"/>
    <col min="2" max="2" width="9.28515625" style="24" bestFit="1" customWidth="1"/>
    <col min="3" max="3" width="17.42578125" style="24" bestFit="1" customWidth="1"/>
    <col min="4" max="4" width="10.42578125" style="24" bestFit="1" customWidth="1"/>
    <col min="5" max="5" width="23.28515625" style="24" bestFit="1" customWidth="1"/>
    <col min="6" max="6" width="17.28515625" style="24" bestFit="1" customWidth="1"/>
    <col min="7" max="7" width="7.5703125" style="24" bestFit="1" customWidth="1"/>
    <col min="8" max="8" width="18.7109375" style="24" bestFit="1" customWidth="1"/>
    <col min="9" max="9" width="11.7109375" style="24" bestFit="1" customWidth="1"/>
    <col min="10" max="10" width="29.5703125" style="24" bestFit="1" customWidth="1"/>
    <col min="11" max="11" width="16.7109375" style="24" bestFit="1" customWidth="1"/>
    <col min="12" max="16384" width="9.140625" style="24"/>
  </cols>
  <sheetData>
    <row r="1" spans="1:7" ht="21" x14ac:dyDescent="0.25">
      <c r="A1" s="35" t="s">
        <v>39</v>
      </c>
      <c r="B1" s="35"/>
      <c r="C1" s="36" t="s">
        <v>27</v>
      </c>
      <c r="D1" s="36"/>
      <c r="E1" s="36"/>
      <c r="F1" s="36"/>
      <c r="G1" s="36"/>
    </row>
    <row r="2" spans="1:7" x14ac:dyDescent="0.25">
      <c r="A2" s="25" t="s">
        <v>3</v>
      </c>
      <c r="B2" s="25" t="s">
        <v>12</v>
      </c>
      <c r="C2" s="27" t="s">
        <v>24</v>
      </c>
      <c r="D2" s="27" t="s">
        <v>25</v>
      </c>
      <c r="E2" s="27" t="s">
        <v>20</v>
      </c>
      <c r="F2" s="27" t="s">
        <v>21</v>
      </c>
      <c r="G2" s="27" t="s">
        <v>22</v>
      </c>
    </row>
    <row r="3" spans="1:7" x14ac:dyDescent="0.25">
      <c r="A3" s="23">
        <v>1</v>
      </c>
      <c r="B3" s="23"/>
      <c r="C3" s="26"/>
      <c r="D3" s="26"/>
      <c r="E3" s="26"/>
      <c r="F3" s="26"/>
      <c r="G3" s="26"/>
    </row>
  </sheetData>
  <mergeCells count="2">
    <mergeCell ref="A1:B1"/>
    <mergeCell ref="C1:G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3"/>
  <sheetViews>
    <sheetView workbookViewId="0">
      <selection activeCell="B3" sqref="B3"/>
    </sheetView>
  </sheetViews>
  <sheetFormatPr defaultRowHeight="15" x14ac:dyDescent="0.25"/>
  <cols>
    <col min="1" max="1" width="9" style="23" bestFit="1" customWidth="1"/>
    <col min="2" max="2" width="9.28515625" style="24" bestFit="1" customWidth="1"/>
    <col min="3" max="3" width="15.7109375" style="24" bestFit="1" customWidth="1"/>
    <col min="4" max="4" width="17" style="24" bestFit="1" customWidth="1"/>
    <col min="5" max="5" width="10" style="24" bestFit="1" customWidth="1"/>
    <col min="6" max="6" width="29.5703125" style="24" bestFit="1" customWidth="1"/>
    <col min="7" max="7" width="16.7109375" style="24" bestFit="1" customWidth="1"/>
    <col min="8" max="8" width="18.7109375" style="24" bestFit="1" customWidth="1"/>
    <col min="9" max="9" width="11.7109375" style="24" bestFit="1" customWidth="1"/>
    <col min="10" max="10" width="29.5703125" style="24" bestFit="1" customWidth="1"/>
    <col min="11" max="11" width="16.7109375" style="24" bestFit="1" customWidth="1"/>
    <col min="12" max="16384" width="9.140625" style="24"/>
  </cols>
  <sheetData>
    <row r="1" spans="1:7" ht="21" x14ac:dyDescent="0.25">
      <c r="A1" s="35" t="s">
        <v>39</v>
      </c>
      <c r="B1" s="35"/>
      <c r="C1" s="37" t="s">
        <v>23</v>
      </c>
      <c r="D1" s="37"/>
      <c r="E1" s="37"/>
      <c r="F1" s="37"/>
      <c r="G1" s="37"/>
    </row>
    <row r="2" spans="1:7" x14ac:dyDescent="0.25">
      <c r="A2" s="25" t="s">
        <v>3</v>
      </c>
      <c r="B2" s="25" t="s">
        <v>12</v>
      </c>
      <c r="C2" s="25" t="s">
        <v>33</v>
      </c>
      <c r="D2" s="25" t="s">
        <v>34</v>
      </c>
      <c r="E2" s="25" t="s">
        <v>35</v>
      </c>
      <c r="F2" s="25" t="s">
        <v>36</v>
      </c>
      <c r="G2" s="25" t="s">
        <v>37</v>
      </c>
    </row>
    <row r="3" spans="1:7" x14ac:dyDescent="0.25">
      <c r="A3" s="23">
        <v>1</v>
      </c>
      <c r="B3" s="23"/>
      <c r="C3" s="26"/>
      <c r="D3" s="26"/>
      <c r="E3" s="26"/>
      <c r="F3" s="26"/>
      <c r="G3" s="26"/>
    </row>
  </sheetData>
  <mergeCells count="2">
    <mergeCell ref="C1:G1"/>
    <mergeCell ref="A1:B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3"/>
  <sheetViews>
    <sheetView workbookViewId="0">
      <selection activeCell="B3" sqref="B3"/>
    </sheetView>
  </sheetViews>
  <sheetFormatPr defaultRowHeight="15" x14ac:dyDescent="0.25"/>
  <cols>
    <col min="1" max="1" width="9" style="23" bestFit="1" customWidth="1"/>
    <col min="2" max="2" width="9.28515625" style="24" bestFit="1" customWidth="1"/>
    <col min="3" max="3" width="15.7109375" style="24" bestFit="1" customWidth="1"/>
    <col min="4" max="4" width="17" style="24" bestFit="1" customWidth="1"/>
    <col min="5" max="5" width="10" style="24" bestFit="1" customWidth="1"/>
    <col min="6" max="6" width="29.5703125" style="24" bestFit="1" customWidth="1"/>
    <col min="7" max="7" width="16.7109375" style="24" bestFit="1" customWidth="1"/>
    <col min="8" max="8" width="18.7109375" style="24" bestFit="1" customWidth="1"/>
    <col min="9" max="9" width="11.7109375" style="24" bestFit="1" customWidth="1"/>
    <col min="10" max="10" width="29.5703125" style="24" bestFit="1" customWidth="1"/>
    <col min="11" max="11" width="16.7109375" style="24" bestFit="1" customWidth="1"/>
    <col min="12" max="16384" width="9.140625" style="24"/>
  </cols>
  <sheetData>
    <row r="1" spans="1:7" ht="21" x14ac:dyDescent="0.25">
      <c r="A1" s="35" t="s">
        <v>39</v>
      </c>
      <c r="B1" s="35"/>
      <c r="C1" s="38" t="s">
        <v>26</v>
      </c>
      <c r="D1" s="38"/>
      <c r="E1" s="38"/>
      <c r="F1" s="38"/>
      <c r="G1" s="38"/>
    </row>
    <row r="2" spans="1:7" x14ac:dyDescent="0.25">
      <c r="A2" s="25" t="s">
        <v>3</v>
      </c>
      <c r="B2" s="25" t="s">
        <v>12</v>
      </c>
      <c r="C2" s="25" t="s">
        <v>33</v>
      </c>
      <c r="D2" s="25" t="s">
        <v>34</v>
      </c>
      <c r="E2" s="25" t="s">
        <v>35</v>
      </c>
      <c r="F2" s="25" t="s">
        <v>36</v>
      </c>
      <c r="G2" s="25" t="s">
        <v>37</v>
      </c>
    </row>
    <row r="3" spans="1:7" x14ac:dyDescent="0.25">
      <c r="A3" s="23">
        <v>1</v>
      </c>
      <c r="B3" s="23"/>
      <c r="C3" s="26"/>
      <c r="D3" s="26"/>
      <c r="E3" s="26"/>
      <c r="F3" s="26"/>
      <c r="G3" s="26"/>
    </row>
  </sheetData>
  <mergeCells count="2">
    <mergeCell ref="C1:G1"/>
    <mergeCell ref="A1:B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"/>
  <sheetViews>
    <sheetView workbookViewId="0">
      <selection activeCell="B3" sqref="B3"/>
    </sheetView>
  </sheetViews>
  <sheetFormatPr defaultRowHeight="15" x14ac:dyDescent="0.25"/>
  <cols>
    <col min="1" max="1" width="9" style="23" bestFit="1" customWidth="1"/>
    <col min="2" max="2" width="9.28515625" style="24" bestFit="1" customWidth="1"/>
    <col min="3" max="3" width="17.42578125" style="24" bestFit="1" customWidth="1"/>
    <col min="4" max="4" width="10.42578125" style="24" bestFit="1" customWidth="1"/>
    <col min="5" max="5" width="23.28515625" style="24" bestFit="1" customWidth="1"/>
    <col min="6" max="6" width="17.28515625" style="24" bestFit="1" customWidth="1"/>
    <col min="7" max="7" width="8.5703125" style="24" bestFit="1" customWidth="1"/>
    <col min="8" max="16384" width="9.140625" style="24"/>
  </cols>
  <sheetData>
    <row r="1" spans="1:7" ht="21" x14ac:dyDescent="0.25">
      <c r="A1" s="39" t="s">
        <v>38</v>
      </c>
      <c r="B1" s="39"/>
      <c r="C1" s="36" t="s">
        <v>27</v>
      </c>
      <c r="D1" s="36"/>
      <c r="E1" s="36"/>
      <c r="F1" s="36"/>
      <c r="G1" s="36"/>
    </row>
    <row r="2" spans="1:7" x14ac:dyDescent="0.25">
      <c r="A2" s="25" t="s">
        <v>3</v>
      </c>
      <c r="B2" s="25" t="s">
        <v>12</v>
      </c>
      <c r="C2" s="27" t="s">
        <v>24</v>
      </c>
      <c r="D2" s="27" t="s">
        <v>25</v>
      </c>
      <c r="E2" s="27" t="s">
        <v>20</v>
      </c>
      <c r="F2" s="27" t="s">
        <v>21</v>
      </c>
      <c r="G2" s="27" t="s">
        <v>22</v>
      </c>
    </row>
    <row r="3" spans="1:7" x14ac:dyDescent="0.25">
      <c r="A3" s="23">
        <v>1</v>
      </c>
      <c r="B3" s="23"/>
      <c r="C3" s="26"/>
      <c r="D3" s="26"/>
      <c r="E3" s="26"/>
      <c r="F3" s="26"/>
      <c r="G3" s="26"/>
    </row>
  </sheetData>
  <mergeCells count="2">
    <mergeCell ref="C1:G1"/>
    <mergeCell ref="A1:B1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3"/>
  <sheetViews>
    <sheetView workbookViewId="0">
      <selection activeCell="B3" sqref="B3"/>
    </sheetView>
  </sheetViews>
  <sheetFormatPr defaultRowHeight="15" x14ac:dyDescent="0.25"/>
  <cols>
    <col min="1" max="1" width="9" style="23" bestFit="1" customWidth="1"/>
    <col min="2" max="2" width="9.28515625" style="24" bestFit="1" customWidth="1"/>
    <col min="3" max="3" width="15.7109375" style="24" bestFit="1" customWidth="1"/>
    <col min="4" max="4" width="17" style="24" bestFit="1" customWidth="1"/>
    <col min="5" max="5" width="10" style="24" bestFit="1" customWidth="1"/>
    <col min="6" max="6" width="29.5703125" style="24" bestFit="1" customWidth="1"/>
    <col min="7" max="7" width="16.7109375" style="24" bestFit="1" customWidth="1"/>
    <col min="8" max="16384" width="9.140625" style="24"/>
  </cols>
  <sheetData>
    <row r="1" spans="1:7" ht="21" x14ac:dyDescent="0.25">
      <c r="A1" s="39" t="s">
        <v>38</v>
      </c>
      <c r="B1" s="39"/>
      <c r="C1" s="37" t="s">
        <v>23</v>
      </c>
      <c r="D1" s="37"/>
      <c r="E1" s="37"/>
      <c r="F1" s="37"/>
      <c r="G1" s="37"/>
    </row>
    <row r="2" spans="1:7" x14ac:dyDescent="0.25">
      <c r="A2" s="25" t="s">
        <v>3</v>
      </c>
      <c r="B2" s="25" t="s">
        <v>12</v>
      </c>
      <c r="C2" s="25" t="s">
        <v>33</v>
      </c>
      <c r="D2" s="25" t="s">
        <v>34</v>
      </c>
      <c r="E2" s="25" t="s">
        <v>35</v>
      </c>
      <c r="F2" s="25" t="s">
        <v>36</v>
      </c>
      <c r="G2" s="25" t="s">
        <v>37</v>
      </c>
    </row>
    <row r="3" spans="1:7" x14ac:dyDescent="0.25">
      <c r="A3" s="23">
        <v>1</v>
      </c>
      <c r="B3" s="23"/>
      <c r="C3" s="26"/>
      <c r="D3" s="26"/>
      <c r="E3" s="26"/>
      <c r="F3" s="26"/>
      <c r="G3" s="26"/>
    </row>
  </sheetData>
  <mergeCells count="2">
    <mergeCell ref="C1:G1"/>
    <mergeCell ref="A1:B1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workbookViewId="0">
      <selection activeCell="B3" sqref="B3"/>
    </sheetView>
  </sheetViews>
  <sheetFormatPr defaultRowHeight="15" x14ac:dyDescent="0.25"/>
  <cols>
    <col min="1" max="1" width="9" style="5" bestFit="1" customWidth="1"/>
    <col min="2" max="2" width="9.28515625" style="1" bestFit="1" customWidth="1"/>
    <col min="3" max="3" width="15.7109375" style="1" bestFit="1" customWidth="1"/>
    <col min="4" max="4" width="17" style="1" bestFit="1" customWidth="1"/>
    <col min="5" max="5" width="10" style="1" bestFit="1" customWidth="1"/>
    <col min="6" max="6" width="29.5703125" style="1" bestFit="1" customWidth="1"/>
    <col min="7" max="7" width="16.7109375" style="1" bestFit="1" customWidth="1"/>
    <col min="8" max="16384" width="9.140625" style="1"/>
  </cols>
  <sheetData>
    <row r="1" spans="1:7" ht="21" x14ac:dyDescent="0.25">
      <c r="A1" s="39" t="s">
        <v>38</v>
      </c>
      <c r="B1" s="39"/>
      <c r="C1" s="38" t="s">
        <v>26</v>
      </c>
      <c r="D1" s="38"/>
      <c r="E1" s="38"/>
      <c r="F1" s="38"/>
      <c r="G1" s="38"/>
    </row>
    <row r="2" spans="1:7" x14ac:dyDescent="0.25">
      <c r="A2" s="20" t="s">
        <v>3</v>
      </c>
      <c r="B2" s="20" t="s">
        <v>12</v>
      </c>
      <c r="C2" s="25" t="s">
        <v>33</v>
      </c>
      <c r="D2" s="25" t="s">
        <v>34</v>
      </c>
      <c r="E2" s="25" t="s">
        <v>35</v>
      </c>
      <c r="F2" s="25" t="s">
        <v>36</v>
      </c>
      <c r="G2" s="25" t="s">
        <v>37</v>
      </c>
    </row>
    <row r="3" spans="1:7" x14ac:dyDescent="0.25">
      <c r="A3" s="5">
        <v>1</v>
      </c>
      <c r="B3" s="5"/>
      <c r="C3" s="14"/>
      <c r="D3" s="14"/>
      <c r="E3" s="14"/>
      <c r="F3" s="14"/>
      <c r="G3" s="14"/>
    </row>
  </sheetData>
  <mergeCells count="2">
    <mergeCell ref="C1:G1"/>
    <mergeCell ref="A1:B1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Contents</vt:lpstr>
      <vt:lpstr>Invalid Cells</vt:lpstr>
      <vt:lpstr>ANOVA</vt:lpstr>
      <vt:lpstr>Figures</vt:lpstr>
      <vt:lpstr>WT_Dark_All</vt:lpstr>
      <vt:lpstr>WT_Dark_WABs</vt:lpstr>
      <vt:lpstr>WT_Dark_NonWABs</vt:lpstr>
      <vt:lpstr>DTA_Dark_All</vt:lpstr>
      <vt:lpstr>DTA_Dark_WABs</vt:lpstr>
      <vt:lpstr>DTA_Dark_NonWABs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2014-11-03T03:25:12Z</dcterms:created>
  <dcterms:modified xsi:type="dcterms:W3CDTF">2016-02-10T02:29:07Z</dcterms:modified>
</cp:coreProperties>
</file>