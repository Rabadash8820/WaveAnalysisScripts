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_Programming\Programs\MEA-Cruncher\Old_Scripts\Excel_Macros\"/>
    </mc:Choice>
  </mc:AlternateContent>
  <bookViews>
    <workbookView xWindow="0" yWindow="0" windowWidth="25200" windowHeight="11985"/>
  </bookViews>
  <sheets>
    <sheet name="Contents" sheetId="6" r:id="rId1"/>
    <sheet name="Invalid Units" sheetId="7" r:id="rId2"/>
    <sheet name="Summary" sheetId="5" r:id="rId3"/>
    <sheet name="All Avgs" sheetId="2" state="hidden" r:id="rId4"/>
    <sheet name="WAB Avgs" sheetId="3" state="hidden" r:id="rId5"/>
    <sheet name="NonWAB Avgs" sheetId="4" state="hidden" r:id="rId6"/>
  </sheets>
  <definedNames>
    <definedName name="InterElectrodeDist">#REF!</definedName>
    <definedName name="numPops">'Invalid Units'!#REF!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</calcChain>
</file>

<file path=xl/sharedStrings.xml><?xml version="1.0" encoding="utf-8"?>
<sst xmlns="http://schemas.openxmlformats.org/spreadsheetml/2006/main" count="56" uniqueCount="39">
  <si>
    <t>All Bursts</t>
  </si>
  <si>
    <t>Retina</t>
  </si>
  <si>
    <t>Cell</t>
  </si>
  <si>
    <t>BkgrdFiringRate</t>
  </si>
  <si>
    <t>BkgrdISI</t>
  </si>
  <si>
    <t>PercentSpikesInBursts</t>
  </si>
  <si>
    <t>BurstFrequency</t>
  </si>
  <si>
    <t>IBI</t>
  </si>
  <si>
    <t>PercentBurstsInWaves</t>
  </si>
  <si>
    <t>Wave-Associated Bursts</t>
  </si>
  <si>
    <t>BurstDuration</t>
  </si>
  <si>
    <t>BurstFiringRate</t>
  </si>
  <si>
    <t>BurstISI</t>
  </si>
  <si>
    <t>PercentBurstTimeAbove10Hz</t>
  </si>
  <si>
    <t>SpikesPerBurst</t>
  </si>
  <si>
    <t>Non-Wave-Associated Bursts</t>
  </si>
  <si>
    <t>WABFiringRate</t>
  </si>
  <si>
    <t>WABDuration</t>
  </si>
  <si>
    <t>WABISI</t>
  </si>
  <si>
    <t>PercentWABTimeAbove10Hz</t>
  </si>
  <si>
    <t>SpikesPerWAB</t>
  </si>
  <si>
    <t>NWABDuration</t>
  </si>
  <si>
    <t>NWABFiringRate</t>
  </si>
  <si>
    <t>NWABISI</t>
  </si>
  <si>
    <t>PercentNWABTimeAbove10Hz</t>
  </si>
  <si>
    <t>SpikesPerNWAB</t>
  </si>
  <si>
    <t>All</t>
  </si>
  <si>
    <t>Wave Bursts</t>
  </si>
  <si>
    <t>Non Wave Bursts</t>
  </si>
  <si>
    <r>
      <t xml:space="preserve">Provide the ids of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Retina 1, Unit adch_23a).  These can be found in the Cell_Units workbooks.</t>
    </r>
  </si>
  <si>
    <t>These units will then get marked on each experimental population.</t>
  </si>
  <si>
    <t>Marking will make it easier to exclude invalid units from further analysis (by deleting or filtering them out).</t>
  </si>
  <si>
    <t>Unit</t>
  </si>
  <si>
    <t>Processed WAB Workbook</t>
  </si>
  <si>
    <t>Processed NWAB Workbook</t>
  </si>
  <si>
    <t>Make sure that workbook paths on the same row are for the same retina.</t>
  </si>
  <si>
    <t>Copy the full path of the WAB workbook and NonWAB workbook of each retina that should be included in this experimental population.</t>
  </si>
  <si>
    <t>Give each retina a unique ID (any number/string) and then press the big button to fetch their data!</t>
  </si>
  <si>
    <t>Retina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</si>
</sst>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35">
    <xf numFmtId="0" fontId="0" fillId="0" borderId="0" xfId="0"/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6" fillId="0" borderId="0" xfId="0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0" fontId="0" fillId="0" borderId="0" xfId="0" applyBorder="1"/>
    <xf numFmtId="0" fontId="12" fillId="0" borderId="0" xfId="2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5" xfId="0" applyNumberFormat="1" applyFont="1" applyBorder="1" applyAlignment="1">
      <alignment horizontal="left" vertical="center"/>
    </xf>
    <xf numFmtId="49" fontId="6" fillId="0" borderId="0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7" fillId="4" borderId="3" xfId="3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9" fillId="3" borderId="3" xfId="2" applyFont="1" applyBorder="1" applyAlignment="1">
      <alignment horizontal="center" vertical="center"/>
    </xf>
    <xf numFmtId="0" fontId="7" fillId="4" borderId="0" xfId="3" applyFont="1" applyBorder="1" applyAlignment="1">
      <alignment horizontal="center" vertical="center"/>
    </xf>
    <xf numFmtId="0" fontId="8" fillId="2" borderId="0" xfId="1" applyFont="1" applyBorder="1" applyAlignment="1">
      <alignment horizontal="center" vertical="center"/>
    </xf>
    <xf numFmtId="0" fontId="9" fillId="3" borderId="0" xfId="2" applyFont="1" applyBorder="1" applyAlignment="1">
      <alignment horizontal="center" vertic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97">
    <dxf>
      <numFmt numFmtId="30" formatCode="@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family val="2"/>
      </font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0</xdr:col>
          <xdr:colOff>3352800</xdr:colOff>
          <xdr:row>4</xdr:row>
          <xdr:rowOff>447675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ContentsTbl" displayName="ContentsTbl" ref="A8:C9" totalsRowShown="0" headerRowDxfId="96" dataDxfId="95">
  <autoFilter ref="A8:C9"/>
  <tableColumns count="3">
    <tableColumn id="1" name="Retina ID" dataDxfId="94"/>
    <tableColumn id="6" name="Processed WAB Workbook" dataDxfId="93"/>
    <tableColumn id="2" name="Processed NWAB Workbook" dataDxfId="9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SummaryTbl" displayName="SummaryTbl" ref="A2:Q3" headerRowDxfId="87" dataDxfId="86">
  <autoFilter ref="A2:Q3"/>
  <tableColumns count="17">
    <tableColumn id="1" name="Retina" totalsRowLabel="Total" dataDxfId="0" totalsRowDxfId="85"/>
    <tableColumn id="2" name="BkgrdFiringRate" dataDxfId="84" totalsRowDxfId="83">
      <calculatedColumnFormula>IFERROR(AVERAGEIF(AllAvgsTbl[Retina],SummaryTbl[[#This Row],[Retina]],AllAvgsTbl[BkgrdFiringRate]),"")</calculatedColumnFormula>
    </tableColumn>
    <tableColumn id="3" name="BkgrdISI" dataDxfId="82" totalsRowDxfId="81">
      <calculatedColumnFormula>IFERROR(AVERAGEIF(AllAvgsTbl[Retina],SummaryTbl[[#This Row],[Retina]],AllAvgsTbl[BkgrdISI]),"")</calculatedColumnFormula>
    </tableColumn>
    <tableColumn id="4" name="PercentSpikesInBursts" dataDxfId="80" totalsRowDxfId="79">
      <calculatedColumnFormula>IFERROR(AVERAGEIF(AllAvgsTbl[Retina],SummaryTbl[[#This Row],[Retina]],AllAvgsTbl[PercentSpikesInBursts]),"")</calculatedColumnFormula>
    </tableColumn>
    <tableColumn id="5" name="BurstFrequency" dataDxfId="78" totalsRowDxfId="77">
      <calculatedColumnFormula>IFERROR(AVERAGEIF(AllAvgsTbl[Retina],SummaryTbl[[#This Row],[Retina]],AllAvgsTbl[BurstFrequency]),"")</calculatedColumnFormula>
    </tableColumn>
    <tableColumn id="6" name="IBI" dataDxfId="76" totalsRowDxfId="75">
      <calculatedColumnFormula>IFERROR(AVERAGEIF(AllAvgsTbl[Retina],SummaryTbl[[#This Row],[Retina]],AllAvgsTbl[IBI]),"")</calculatedColumnFormula>
    </tableColumn>
    <tableColumn id="7" name="PercentBurstsInWaves" dataDxfId="74" totalsRowDxfId="73">
      <calculatedColumnFormula>IFERROR(AVERAGEIF(AllAvgsTbl[Retina],SummaryTbl[[#This Row],[Retina]],AllAvgsTbl[PercentBurstsInWaves]),"")</calculatedColumnFormula>
    </tableColumn>
    <tableColumn id="8" name="WABDuration" dataDxfId="72" totalsRowDxfId="71">
      <calculatedColumnFormula>IFERROR(AVERAGEIF(WABAvgsTbl[Retina],SummaryTbl[[#This Row],[Retina]],WABAvgsTbl[BurstDuration]),"")</calculatedColumnFormula>
    </tableColumn>
    <tableColumn id="9" name="WABFiringRate" dataDxfId="70" totalsRowDxfId="69">
      <calculatedColumnFormula>IFERROR(AVERAGEIF(WABAvgsTbl[Retina],SummaryTbl[[#This Row],[Retina]],WABAvgsTbl[BurstFiringRate]),"")</calculatedColumnFormula>
    </tableColumn>
    <tableColumn id="10" name="WABISI" dataDxfId="68" totalsRowDxfId="67">
      <calculatedColumnFormula>IFERROR(AVERAGEIF(WABAvgsTbl[Retina],SummaryTbl[[#This Row],[Retina]],WABAvgsTbl[BurstISI]),"")</calculatedColumnFormula>
    </tableColumn>
    <tableColumn id="11" name="PercentWABTimeAbove10Hz" dataDxfId="66" totalsRowDxfId="65">
      <calculatedColumnFormula>IFERROR(AVERAGEIF(WABAvgsTbl[Retina],SummaryTbl[[#This Row],[Retina]],WABAvgsTbl[PercentBurstTimeAbove10Hz]),"")</calculatedColumnFormula>
    </tableColumn>
    <tableColumn id="12" name="SpikesPerWAB" dataDxfId="64" totalsRowDxfId="63">
      <calculatedColumnFormula>IFERROR(AVERAGEIF(WABAvgsTbl[Retina],SummaryTbl[[#This Row],[Retina]],WABAvgsTbl[SpikesPerBurst]),"")</calculatedColumnFormula>
    </tableColumn>
    <tableColumn id="13" name="NWABDuration" dataDxfId="62" totalsRowDxfId="61">
      <calculatedColumnFormula>IFERROR(AVERAGEIF(NonWABAvgsTbl[Retina],SummaryTbl[[#This Row],[Retina]],NonWABAvgsTbl[BurstDuration]),"")</calculatedColumnFormula>
    </tableColumn>
    <tableColumn id="14" name="NWABFiringRate" dataDxfId="60" totalsRowDxfId="59">
      <calculatedColumnFormula>IFERROR(AVERAGEIF(NonWABAvgsTbl[Retina],SummaryTbl[[#This Row],[Retina]],NonWABAvgsTbl[BurstFiringRate]),"")</calculatedColumnFormula>
    </tableColumn>
    <tableColumn id="15" name="NWABISI" dataDxfId="58" totalsRowDxfId="57">
      <calculatedColumnFormula>IFERROR(AVERAGEIF(NonWABAvgsTbl[Retina],SummaryTbl[[#This Row],[Retina]],NonWABAvgsTbl[BurstISI]),"")</calculatedColumnFormula>
    </tableColumn>
    <tableColumn id="16" name="PercentNWABTimeAbove10Hz" dataDxfId="56" totalsRowDxfId="55">
      <calculatedColumnFormula>IFERROR(AVERAGEIF(NonWABAvgsTbl[Retina],SummaryTbl[[#This Row],[Retina]],NonWABAvgsTbl[PercentBurstTimeAbove10Hz]),"")</calculatedColumnFormula>
    </tableColumn>
    <tableColumn id="17" name="SpikesPerNWAB" totalsRowFunction="count" dataDxfId="54" totalsRowDxfId="53">
      <calculatedColumnFormula>IFERROR(AVERAGEIF(NonWABAvgsTbl[Retina],SummaryTbl[[#This Row],[Retina]],NonWABAvgsTbl[SpikesPerBurst]),"")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AllAvgsTbl" displayName="AllAvgsTbl" ref="A2:H3" insertRow="1" headerRowDxfId="52" dataDxfId="51" totalsRowDxfId="50">
  <autoFilter ref="A2:H3"/>
  <tableColumns count="8">
    <tableColumn id="11" name="Retina" totalsRowLabel="Total" dataDxfId="49" totalsRowDxfId="48"/>
    <tableColumn id="1" name="Cell" dataDxfId="47" totalsRowDxfId="46"/>
    <tableColumn id="2" name="BkgrdFiringRate" totalsRowFunction="average" dataDxfId="45" totalsRowDxfId="44"/>
    <tableColumn id="3" name="BkgrdISI" totalsRowFunction="average" dataDxfId="43" totalsRowDxfId="42"/>
    <tableColumn id="4" name="PercentSpikesInBursts" totalsRowFunction="average" dataDxfId="41" totalsRowDxfId="40"/>
    <tableColumn id="5" name="BurstFrequency" totalsRowFunction="average" dataDxfId="39" totalsRowDxfId="38"/>
    <tableColumn id="6" name="IBI" totalsRowFunction="average" dataDxfId="37"/>
    <tableColumn id="7" name="PercentBurstsInWaves" dataDxfId="36" totalsRow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WABAvgsTbl" displayName="WABAvgsTbl" ref="A2:G3" insertRow="1" headerRowDxfId="34" dataDxfId="33" totalsRowDxfId="32">
  <autoFilter ref="A2:G3"/>
  <tableColumns count="7">
    <tableColumn id="11" name="Retina" totalsRowLabel="Total" dataDxfId="31" totalsRowDxfId="30"/>
    <tableColumn id="1" name="Cell" dataDxfId="29" totalsRowDxfId="28"/>
    <tableColumn id="7" name="BurstDuration" totalsRowFunction="average" dataDxfId="27" totalsRowDxfId="26"/>
    <tableColumn id="8" name="BurstFiringRate" totalsRowFunction="average" dataDxfId="25" totalsRowDxfId="24"/>
    <tableColumn id="10" name="BurstISI" totalsRowFunction="average" dataDxfId="23" totalsRowDxfId="22"/>
    <tableColumn id="9" name="PercentBurstTimeAbove10Hz" totalsRowFunction="average" dataDxfId="21" totalsRowDxfId="20"/>
    <tableColumn id="12" name="SpikesPerBurst" dataDxfId="19" totalsRowDxf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NonWABAvgsTbl" displayName="NonWABAvgsTbl" ref="A2:G3" insertRow="1" headerRowDxfId="17" dataDxfId="16" totalsRowDxfId="15">
  <autoFilter ref="A2:G3"/>
  <tableColumns count="7">
    <tableColumn id="11" name="Retina" totalsRowLabel="Total" dataDxfId="14" totalsRowDxfId="13"/>
    <tableColumn id="1" name="Cell" dataDxfId="12" totalsRowDxfId="11"/>
    <tableColumn id="13" name="BurstDuration" dataDxfId="10" totalsRowDxfId="9"/>
    <tableColumn id="14" name="BurstFiringRate" dataDxfId="8" totalsRowDxfId="7"/>
    <tableColumn id="16" name="BurstISI" dataDxfId="6" totalsRowDxfId="5"/>
    <tableColumn id="15" name="PercentBurstTimeAbove10Hz" dataDxfId="4" totalsRowDxfId="3"/>
    <tableColumn id="17" name="SpikesPerBurst" dataDxfId="2" totalsRow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16"/>
  <sheetViews>
    <sheetView tabSelected="1" workbookViewId="0">
      <selection activeCell="A9" sqref="A9"/>
    </sheetView>
  </sheetViews>
  <sheetFormatPr defaultRowHeight="15" x14ac:dyDescent="0.25"/>
  <cols>
    <col min="1" max="1" width="28.5703125" style="13" customWidth="1"/>
    <col min="2" max="2" width="61.140625" style="13" customWidth="1"/>
    <col min="3" max="3" width="60" style="13" customWidth="1"/>
    <col min="4" max="16384" width="9.140625" style="13"/>
  </cols>
  <sheetData>
    <row r="1" spans="1:3" x14ac:dyDescent="0.25">
      <c r="A1" s="23" t="s">
        <v>36</v>
      </c>
    </row>
    <row r="2" spans="1:3" x14ac:dyDescent="0.25">
      <c r="A2" s="23" t="s">
        <v>35</v>
      </c>
    </row>
    <row r="3" spans="1:3" x14ac:dyDescent="0.25">
      <c r="A3" s="23" t="s">
        <v>37</v>
      </c>
    </row>
    <row r="4" spans="1:3" x14ac:dyDescent="0.25">
      <c r="A4" s="23"/>
    </row>
    <row r="5" spans="1:3" ht="36" customHeight="1" x14ac:dyDescent="0.25">
      <c r="A5" s="23"/>
    </row>
    <row r="6" spans="1:3" x14ac:dyDescent="0.25">
      <c r="A6" s="23"/>
    </row>
    <row r="8" spans="1:3" x14ac:dyDescent="0.25">
      <c r="A8" s="13" t="s">
        <v>38</v>
      </c>
      <c r="B8" s="13" t="s">
        <v>33</v>
      </c>
      <c r="C8" s="13" t="s">
        <v>34</v>
      </c>
    </row>
    <row r="9" spans="1:3" x14ac:dyDescent="0.25">
      <c r="A9" s="24"/>
      <c r="C9" s="28"/>
    </row>
    <row r="16" spans="1:3" x14ac:dyDescent="0.25">
      <c r="C16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etchData.Fetch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0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"/>
  <sheetViews>
    <sheetView workbookViewId="0">
      <selection activeCell="A7" sqref="A7"/>
    </sheetView>
  </sheetViews>
  <sheetFormatPr defaultRowHeight="15" x14ac:dyDescent="0.25"/>
  <cols>
    <col min="12" max="12" width="12.85546875" bestFit="1" customWidth="1"/>
  </cols>
  <sheetData>
    <row r="1" spans="1:15" x14ac:dyDescent="0.25">
      <c r="A1" s="14" t="s">
        <v>29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A2" s="14" t="s">
        <v>30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x14ac:dyDescent="0.25">
      <c r="A3" s="14" t="s">
        <v>31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5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x14ac:dyDescent="0.25">
      <c r="A5" s="16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5" x14ac:dyDescent="0.25">
      <c r="A6" s="17" t="s">
        <v>1</v>
      </c>
      <c r="B6" s="17" t="s">
        <v>32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9"/>
      <c r="B7" s="20"/>
      <c r="C7" s="19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5" x14ac:dyDescent="0.25">
      <c r="A8" s="19"/>
      <c r="B8" s="20"/>
      <c r="C8" s="19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x14ac:dyDescent="0.25">
      <c r="A9" s="19"/>
      <c r="B9" s="20"/>
      <c r="C9" s="15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x14ac:dyDescent="0.25">
      <c r="A10" s="19"/>
      <c r="B10" s="20"/>
      <c r="C10" s="19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</row>
    <row r="11" spans="1:15" x14ac:dyDescent="0.25">
      <c r="A11" s="19"/>
      <c r="B11" s="20"/>
      <c r="C11" s="19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</row>
    <row r="12" spans="1:15" x14ac:dyDescent="0.25">
      <c r="A12" s="19"/>
      <c r="B12" s="20"/>
      <c r="C12" s="19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</row>
    <row r="13" spans="1:15" x14ac:dyDescent="0.25">
      <c r="A13" s="19"/>
      <c r="B13" s="20"/>
      <c r="C13" s="15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</sheetData>
  <conditionalFormatting sqref="A13">
    <cfRule type="containsText" dxfId="91" priority="3" operator="containsText" text="dk">
      <formula>NOT(ISERROR(SEARCH("dk",A13)))</formula>
    </cfRule>
    <cfRule type="containsText" dxfId="90" priority="4" operator="containsText" text="k">
      <formula>NOT(ISERROR(SEARCH("k",A13)))</formula>
    </cfRule>
  </conditionalFormatting>
  <conditionalFormatting sqref="A7:A12">
    <cfRule type="containsText" dxfId="89" priority="1" operator="containsText" text="dk">
      <formula>NOT(ISERROR(SEARCH("dk",A7)))</formula>
    </cfRule>
    <cfRule type="containsText" dxfId="88" priority="2" operator="containsText" text="k">
      <formula>NOT(ISERROR(SEARCH("k",A7)))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17.42578125" style="11" bestFit="1" customWidth="1"/>
    <col min="3" max="3" width="10.42578125" style="11" bestFit="1" customWidth="1"/>
    <col min="4" max="4" width="23.28515625" style="11" bestFit="1" customWidth="1"/>
    <col min="5" max="5" width="17.28515625" style="11" bestFit="1" customWidth="1"/>
    <col min="6" max="6" width="5.5703125" style="11" bestFit="1" customWidth="1"/>
    <col min="7" max="7" width="23.7109375" style="11" bestFit="1" customWidth="1"/>
    <col min="8" max="8" width="15.5703125" style="11" bestFit="1" customWidth="1"/>
    <col min="9" max="9" width="16.85546875" style="11" bestFit="1" customWidth="1"/>
    <col min="10" max="10" width="9.85546875" style="11" bestFit="1" customWidth="1"/>
    <col min="11" max="11" width="29.42578125" style="11" bestFit="1" customWidth="1"/>
    <col min="12" max="12" width="16.5703125" style="11" bestFit="1" customWidth="1"/>
    <col min="13" max="13" width="17" style="11" bestFit="1" customWidth="1"/>
    <col min="14" max="14" width="18.28515625" style="11" bestFit="1" customWidth="1"/>
    <col min="15" max="15" width="11.28515625" style="11" bestFit="1" customWidth="1"/>
    <col min="16" max="16" width="30.85546875" style="11" bestFit="1" customWidth="1"/>
    <col min="17" max="17" width="18" style="11" bestFit="1" customWidth="1"/>
    <col min="18" max="16384" width="9.140625" style="11"/>
  </cols>
  <sheetData>
    <row r="1" spans="1:17" ht="21" x14ac:dyDescent="0.25">
      <c r="B1" s="29" t="s">
        <v>26</v>
      </c>
      <c r="C1" s="29"/>
      <c r="D1" s="29"/>
      <c r="E1" s="29"/>
      <c r="F1" s="29"/>
      <c r="G1" s="29"/>
      <c r="H1" s="30" t="s">
        <v>27</v>
      </c>
      <c r="I1" s="30"/>
      <c r="J1" s="30"/>
      <c r="K1" s="30"/>
      <c r="L1" s="30"/>
      <c r="M1" s="31" t="s">
        <v>28</v>
      </c>
      <c r="N1" s="31"/>
      <c r="O1" s="31"/>
      <c r="P1" s="31"/>
      <c r="Q1" s="31"/>
    </row>
    <row r="2" spans="1:17" x14ac:dyDescent="0.25">
      <c r="A2" s="13" t="s">
        <v>1</v>
      </c>
      <c r="B2" s="7" t="s">
        <v>3</v>
      </c>
      <c r="C2" s="7" t="s">
        <v>4</v>
      </c>
      <c r="D2" s="7" t="s">
        <v>5</v>
      </c>
      <c r="E2" s="7" t="s">
        <v>6</v>
      </c>
      <c r="F2" s="7" t="s">
        <v>7</v>
      </c>
      <c r="G2" s="8" t="s">
        <v>8</v>
      </c>
      <c r="H2" s="7" t="s">
        <v>17</v>
      </c>
      <c r="I2" s="7" t="s">
        <v>16</v>
      </c>
      <c r="J2" s="7" t="s">
        <v>18</v>
      </c>
      <c r="K2" s="7" t="s">
        <v>19</v>
      </c>
      <c r="L2" s="8" t="s">
        <v>20</v>
      </c>
      <c r="M2" s="7" t="s">
        <v>21</v>
      </c>
      <c r="N2" s="7" t="s">
        <v>22</v>
      </c>
      <c r="O2" s="7" t="s">
        <v>23</v>
      </c>
      <c r="P2" s="7" t="s">
        <v>24</v>
      </c>
      <c r="Q2" s="8" t="s">
        <v>25</v>
      </c>
    </row>
    <row r="3" spans="1:17" x14ac:dyDescent="0.25">
      <c r="A3" s="24"/>
      <c r="B3" s="11" t="str">
        <f>IFERROR(AVERAGEIF(AllAvgsTbl[Retina],SummaryTbl[[#This Row],[Retina]],AllAvgsTbl[BkgrdFiringRate]),"")</f>
        <v/>
      </c>
      <c r="C3" s="11" t="str">
        <f>IFERROR(AVERAGEIF(AllAvgsTbl[Retina],SummaryTbl[[#This Row],[Retina]],AllAvgsTbl[BkgrdISI]),"")</f>
        <v/>
      </c>
      <c r="D3" s="11" t="str">
        <f>IFERROR(AVERAGEIF(AllAvgsTbl[Retina],SummaryTbl[[#This Row],[Retina]],AllAvgsTbl[PercentSpikesInBursts]),"")</f>
        <v/>
      </c>
      <c r="E3" s="11" t="str">
        <f>IFERROR(AVERAGEIF(AllAvgsTbl[Retina],SummaryTbl[[#This Row],[Retina]],AllAvgsTbl[BurstFrequency]),"")</f>
        <v/>
      </c>
      <c r="F3" s="11" t="str">
        <f>IFERROR(AVERAGEIF(AllAvgsTbl[Retina],SummaryTbl[[#This Row],[Retina]],AllAvgsTbl[IBI]),"")</f>
        <v/>
      </c>
      <c r="G3" s="11" t="str">
        <f>IFERROR(AVERAGEIF(AllAvgsTbl[Retina],SummaryTbl[[#This Row],[Retina]],AllAvgsTbl[PercentBurstsInWaves]),"")</f>
        <v/>
      </c>
      <c r="H3" s="11" t="str">
        <f>IFERROR(AVERAGEIF(WABAvgsTbl[Retina],SummaryTbl[[#This Row],[Retina]],WABAvgsTbl[BurstDuration]),"")</f>
        <v/>
      </c>
      <c r="I3" s="11" t="str">
        <f>IFERROR(AVERAGEIF(WABAvgsTbl[Retina],SummaryTbl[[#This Row],[Retina]],WABAvgsTbl[BurstFiringRate]),"")</f>
        <v/>
      </c>
      <c r="J3" s="11" t="str">
        <f>IFERROR(AVERAGEIF(WABAvgsTbl[Retina],SummaryTbl[[#This Row],[Retina]],WABAvgsTbl[BurstISI]),"")</f>
        <v/>
      </c>
      <c r="K3" s="11" t="str">
        <f>IFERROR(AVERAGEIF(WABAvgsTbl[Retina],SummaryTbl[[#This Row],[Retina]],WABAvgsTbl[PercentBurstTimeAbove10Hz]),"")</f>
        <v/>
      </c>
      <c r="L3" s="11" t="str">
        <f>IFERROR(AVERAGEIF(WABAvgsTbl[Retina],SummaryTbl[[#This Row],[Retina]],WABAvgsTbl[SpikesPerBurst]),"")</f>
        <v/>
      </c>
      <c r="M3" s="11" t="str">
        <f>IFERROR(AVERAGEIF(NonWABAvgsTbl[Retina],SummaryTbl[[#This Row],[Retina]],NonWABAvgsTbl[BurstDuration]),"")</f>
        <v/>
      </c>
      <c r="N3" s="11" t="str">
        <f>IFERROR(AVERAGEIF(NonWABAvgsTbl[Retina],SummaryTbl[[#This Row],[Retina]],NonWABAvgsTbl[BurstFiringRate]),"")</f>
        <v/>
      </c>
      <c r="O3" s="11" t="str">
        <f>IFERROR(AVERAGEIF(NonWABAvgsTbl[Retina],SummaryTbl[[#This Row],[Retina]],NonWABAvgsTbl[BurstISI]),"")</f>
        <v/>
      </c>
      <c r="P3" s="11" t="str">
        <f>IFERROR(AVERAGEIF(NonWABAvgsTbl[Retina],SummaryTbl[[#This Row],[Retina]],NonWABAvgsTbl[PercentBurstTimeAbove10Hz]),"")</f>
        <v/>
      </c>
      <c r="Q3" s="11" t="str">
        <f>IFERROR(AVERAGEIF(NonWABAvgsTbl[Retina],SummaryTbl[[#This Row],[Retina]],NonWABAvgsTbl[SpikesPerBurst]),"")</f>
        <v/>
      </c>
    </row>
  </sheetData>
  <mergeCells count="3">
    <mergeCell ref="B1:G1"/>
    <mergeCell ref="H1:L1"/>
    <mergeCell ref="M1:Q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sqref="A1:H1"/>
    </sheetView>
  </sheetViews>
  <sheetFormatPr defaultRowHeight="15" x14ac:dyDescent="0.25"/>
  <cols>
    <col min="1" max="1" width="9" style="4" bestFit="1" customWidth="1"/>
    <col min="2" max="2" width="6.7109375" style="1" bestFit="1" customWidth="1"/>
    <col min="3" max="3" width="17.42578125" style="1" bestFit="1" customWidth="1"/>
    <col min="4" max="4" width="10.42578125" style="1" bestFit="1" customWidth="1"/>
    <col min="5" max="5" width="23.28515625" style="1" bestFit="1" customWidth="1"/>
    <col min="6" max="6" width="17.28515625" style="1" bestFit="1" customWidth="1"/>
    <col min="7" max="7" width="5.5703125" style="1" bestFit="1" customWidth="1"/>
    <col min="8" max="8" width="23.7109375" style="1" bestFit="1" customWidth="1"/>
    <col min="9" max="16384" width="9.140625" style="1"/>
  </cols>
  <sheetData>
    <row r="1" spans="1:8" ht="21" x14ac:dyDescent="0.25">
      <c r="A1" s="32" t="s">
        <v>0</v>
      </c>
      <c r="B1" s="32"/>
      <c r="C1" s="32"/>
      <c r="D1" s="32"/>
      <c r="E1" s="32"/>
      <c r="F1" s="32"/>
      <c r="G1" s="32"/>
      <c r="H1" s="32"/>
    </row>
    <row r="2" spans="1:8" x14ac:dyDescent="0.25">
      <c r="A2" s="2" t="s">
        <v>1</v>
      </c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2" t="s">
        <v>8</v>
      </c>
    </row>
    <row r="3" spans="1:8" x14ac:dyDescent="0.25">
      <c r="A3" s="26"/>
      <c r="B3" s="5"/>
      <c r="C3" s="6"/>
      <c r="D3" s="6"/>
      <c r="E3" s="6"/>
      <c r="F3" s="6"/>
      <c r="G3" s="6"/>
      <c r="H3" s="6"/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sqref="A1:H1"/>
    </sheetView>
  </sheetViews>
  <sheetFormatPr defaultRowHeight="15" x14ac:dyDescent="0.25"/>
  <cols>
    <col min="1" max="1" width="9" style="4" bestFit="1" customWidth="1"/>
    <col min="2" max="2" width="6.710937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33" t="s">
        <v>9</v>
      </c>
      <c r="B1" s="33"/>
      <c r="C1" s="33"/>
      <c r="D1" s="33"/>
      <c r="E1" s="33"/>
      <c r="F1" s="33"/>
      <c r="G1" s="33"/>
    </row>
    <row r="2" spans="1:7" x14ac:dyDescent="0.25">
      <c r="A2" s="2" t="s">
        <v>1</v>
      </c>
      <c r="B2" s="2" t="s">
        <v>2</v>
      </c>
      <c r="C2" s="2" t="s">
        <v>10</v>
      </c>
      <c r="D2" s="2" t="s">
        <v>11</v>
      </c>
      <c r="E2" s="2" t="s">
        <v>12</v>
      </c>
      <c r="F2" s="2" t="s">
        <v>13</v>
      </c>
      <c r="G2" s="2" t="s">
        <v>14</v>
      </c>
    </row>
    <row r="3" spans="1:7" x14ac:dyDescent="0.25">
      <c r="A3" s="26"/>
      <c r="B3" s="9"/>
      <c r="C3" s="10"/>
      <c r="D3" s="10"/>
      <c r="E3" s="10"/>
      <c r="F3" s="10"/>
      <c r="G3" s="10"/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sqref="A1:H1"/>
    </sheetView>
  </sheetViews>
  <sheetFormatPr defaultRowHeight="15" x14ac:dyDescent="0.25"/>
  <cols>
    <col min="1" max="1" width="9" style="5" bestFit="1" customWidth="1"/>
    <col min="2" max="2" width="6.7109375" style="11" bestFit="1" customWidth="1"/>
    <col min="3" max="3" width="15.7109375" style="11" bestFit="1" customWidth="1"/>
    <col min="4" max="4" width="17" style="11" bestFit="1" customWidth="1"/>
    <col min="5" max="5" width="10" style="11" bestFit="1" customWidth="1"/>
    <col min="6" max="6" width="29.5703125" style="11" bestFit="1" customWidth="1"/>
    <col min="7" max="7" width="16.7109375" style="11" bestFit="1" customWidth="1"/>
    <col min="8" max="16384" width="9.140625" style="11"/>
  </cols>
  <sheetData>
    <row r="1" spans="1:7" ht="21" x14ac:dyDescent="0.25">
      <c r="A1" s="34" t="s">
        <v>15</v>
      </c>
      <c r="B1" s="34"/>
      <c r="C1" s="34"/>
      <c r="D1" s="34"/>
      <c r="E1" s="34"/>
      <c r="F1" s="34"/>
      <c r="G1" s="34"/>
    </row>
    <row r="2" spans="1:7" x14ac:dyDescent="0.25">
      <c r="A2" s="12" t="s">
        <v>1</v>
      </c>
      <c r="B2" s="12" t="s">
        <v>2</v>
      </c>
      <c r="C2" s="2" t="s">
        <v>10</v>
      </c>
      <c r="D2" s="2" t="s">
        <v>11</v>
      </c>
      <c r="E2" s="2" t="s">
        <v>12</v>
      </c>
      <c r="F2" s="2" t="s">
        <v>13</v>
      </c>
      <c r="G2" s="2" t="s">
        <v>14</v>
      </c>
    </row>
    <row r="3" spans="1:7" x14ac:dyDescent="0.25">
      <c r="A3" s="27"/>
      <c r="B3" s="9"/>
      <c r="C3" s="10"/>
      <c r="D3" s="10"/>
      <c r="E3" s="10"/>
      <c r="F3" s="10"/>
      <c r="G3" s="10"/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Contents</vt:lpstr>
      <vt:lpstr>Invalid Units</vt:lpstr>
      <vt:lpstr>Summary</vt:lpstr>
      <vt:lpstr>All Avgs</vt:lpstr>
      <vt:lpstr>WAB Avgs</vt:lpstr>
      <vt:lpstr>NonWAB Avgs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2016-02-23T21:10:36Z</dcterms:created>
  <dcterms:modified xsi:type="dcterms:W3CDTF">2016-02-24T07:15:47Z</dcterms:modified>
</cp:coreProperties>
</file>